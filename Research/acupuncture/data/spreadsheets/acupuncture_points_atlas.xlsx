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inary Points" sheetId="1" state="visible" r:id="rId1"/>
    <sheet xmlns:r="http://schemas.openxmlformats.org/officeDocument/2006/relationships" name="Extraordinary 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1F497D"/>
      <sz val="11"/>
    </font>
    <font>
      <name val="Calibri"/>
      <b val="1"/>
      <color rgb="00333333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2" fillId="2" borderId="1" applyAlignment="1" pivotButton="0" quotePrefix="0" xfId="0">
      <alignment horizontal="right"/>
    </xf>
    <xf numFmtId="164" fontId="2" fillId="2" borderId="1" applyAlignment="1" pivotButton="0" quotePrefix="0" xfId="0">
      <alignment horizontal="right"/>
    </xf>
    <xf numFmtId="165" fontId="2" fillId="2" borderId="1" applyAlignment="1" pivotButton="0" quotePrefix="0" xfId="0">
      <alignment horizontal="right"/>
    </xf>
    <xf numFmtId="0" fontId="0" fillId="2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5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5" fillId="7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25" customWidth="1" min="5" max="5"/>
    <col width="45" customWidth="1" min="6" max="6"/>
    <col width="45" customWidth="1" min="7" max="7"/>
    <col width="15" customWidth="1" min="8" max="8"/>
    <col width="15" customWidth="1" min="9" max="9"/>
  </cols>
  <sheetData>
    <row r="1" ht="25" customHeight="1">
      <c r="A1" s="1" t="inlineStr">
        <is>
          <t>ATLAS OF CLASSICAL ACUPUNCTURE POINTS (361 SITES)</t>
        </is>
      </c>
    </row>
    <row r="3">
      <c r="A3" s="2" t="inlineStr">
        <is>
          <t>SUMMARY STATS</t>
        </is>
      </c>
      <c r="B3" s="3" t="inlineStr">
        <is>
          <t>Total Meridian Points:</t>
        </is>
      </c>
      <c r="C3" s="4">
        <f>COUNTIF(A8:A382, "*-*")</f>
        <v/>
      </c>
      <c r="E3" s="3" t="inlineStr">
        <is>
          <t>Mastery Progress:</t>
        </is>
      </c>
      <c r="F3" s="5">
        <f>C4/C3</f>
        <v/>
      </c>
    </row>
    <row r="4">
      <c r="B4" s="3" t="inlineStr">
        <is>
          <t>Points Mastered:</t>
        </is>
      </c>
      <c r="C4" s="4">
        <f>COUNTIF(H8:H382, "Mastered")</f>
        <v/>
      </c>
      <c r="E4" s="3" t="inlineStr">
        <is>
          <t>Last Study Session:</t>
        </is>
      </c>
      <c r="F4" s="6">
        <f>MAX(I8:I382)</f>
        <v/>
      </c>
    </row>
    <row r="5">
      <c r="B5" s="3" t="inlineStr">
        <is>
          <t>Points Reviewing:</t>
        </is>
      </c>
      <c r="C5" s="4">
        <f>COUNTIF(H8:H382, "Reviewing")</f>
        <v/>
      </c>
      <c r="E5" s="7" t="n"/>
      <c r="F5" s="7" t="n"/>
    </row>
    <row r="7" ht="28" customHeight="1">
      <c r="A7" s="8" t="inlineStr">
        <is>
          <t>Point Code</t>
        </is>
      </c>
      <c r="B7" s="8" t="inlineStr">
        <is>
          <t>Chinese Name</t>
        </is>
      </c>
      <c r="C7" s="8" t="inlineStr">
        <is>
          <t>Pinyin Name</t>
        </is>
      </c>
      <c r="D7" s="8" t="inlineStr">
        <is>
          <t>English Name / Translation</t>
        </is>
      </c>
      <c r="E7" s="8" t="inlineStr">
        <is>
          <t>Point Category</t>
        </is>
      </c>
      <c r="F7" s="8" t="inlineStr">
        <is>
          <t>Key Actions &amp; Clinical Indications</t>
        </is>
      </c>
      <c r="G7" s="8" t="inlineStr">
        <is>
          <t>Anatomical Location Description</t>
        </is>
      </c>
      <c r="H7" s="8" t="inlineStr">
        <is>
          <t>Study Status</t>
        </is>
      </c>
      <c r="I7" s="8" t="inlineStr">
        <is>
          <t>Last Studied</t>
        </is>
      </c>
    </row>
    <row r="8" ht="22" customHeight="1">
      <c r="A8" s="9" t="inlineStr">
        <is>
          <t>LUNG MERIDIAN POINTS</t>
        </is>
      </c>
    </row>
    <row r="9" ht="20" customHeight="1">
      <c r="A9" s="10" t="inlineStr">
        <is>
          <t>LU-1</t>
        </is>
      </c>
      <c r="B9" s="11" t="inlineStr">
        <is>
          <t>中府</t>
        </is>
      </c>
      <c r="C9" s="11" t="inlineStr">
        <is>
          <t>Zhōngfǔ</t>
        </is>
      </c>
      <c r="D9" s="11" t="inlineStr">
        <is>
          <t>Middle Palace / Middle Assembly</t>
        </is>
      </c>
      <c r="E9" s="11" t="inlineStr">
        <is>
          <t>Front-Mu of Lung, Meeting of Lung/Spleen</t>
        </is>
      </c>
      <c r="F9" s="12" t="inlineStr">
        <is>
          <t>Descends Lung qi, clears chest heat, alleviates cough and wheezing, regulates chest qi</t>
        </is>
      </c>
      <c r="G9" s="12" t="inlineStr">
        <is>
          <t>On lateral aspect of chest, 1st intercostal space, 6 cun lateral to midline, 1 cun inferior to LU-2</t>
        </is>
      </c>
      <c r="H9" s="13" t="inlineStr">
        <is>
          <t>Not Studied</t>
        </is>
      </c>
      <c r="I9" s="14" t="n"/>
    </row>
    <row r="10" ht="20" customHeight="1">
      <c r="A10" s="15" t="inlineStr">
        <is>
          <t>LU-2</t>
        </is>
      </c>
      <c r="B10" s="16" t="inlineStr">
        <is>
          <t>雲門</t>
        </is>
      </c>
      <c r="C10" s="16" t="inlineStr">
        <is>
          <t>Yúnmén</t>
        </is>
      </c>
      <c r="D10" s="16" t="inlineStr">
        <is>
          <t>Cloud Gate</t>
        </is>
      </c>
      <c r="E10" s="16" t="inlineStr">
        <is>
          <t>Local Point</t>
        </is>
      </c>
      <c r="F10" s="17" t="inlineStr">
        <is>
          <t>Clears Lung heat, descends rebellious Lung qi, benefits the shoulder joint</t>
        </is>
      </c>
      <c r="G10" s="17" t="inlineStr">
        <is>
          <t>Below lateral extremity of clavicle, 6 cun lateral to midline, in centre of delto-pectoral triangle</t>
        </is>
      </c>
      <c r="H10" s="13" t="inlineStr">
        <is>
          <t>Not Studied</t>
        </is>
      </c>
      <c r="I10" s="14" t="n"/>
    </row>
    <row r="11" ht="20" customHeight="1">
      <c r="A11" s="10" t="inlineStr">
        <is>
          <t>LU-3</t>
        </is>
      </c>
      <c r="B11" s="11" t="inlineStr">
        <is>
          <t>天府</t>
        </is>
      </c>
      <c r="C11" s="11" t="inlineStr">
        <is>
          <t>Tiānfǔ</t>
        </is>
      </c>
      <c r="D11" s="11" t="inlineStr">
        <is>
          <t>Palace of Heaven</t>
        </is>
      </c>
      <c r="E11" s="11" t="inlineStr">
        <is>
          <t>Window of Heaven Point</t>
        </is>
      </c>
      <c r="F11" s="12" t="inlineStr">
        <is>
          <t>Descends Lung qi, regulates qi and blood in chest, treats goitre, benefits eyes/nose</t>
        </is>
      </c>
      <c r="G11" s="12" t="inlineStr">
        <is>
          <t>Anterolateral upper arm, 3 cun distal to axillary fold, lateral border of biceps brachii</t>
        </is>
      </c>
      <c r="H11" s="13" t="inlineStr">
        <is>
          <t>Not Studied</t>
        </is>
      </c>
      <c r="I11" s="14" t="n"/>
    </row>
    <row r="12" ht="20" customHeight="1">
      <c r="A12" s="15" t="inlineStr">
        <is>
          <t>LU-4</t>
        </is>
      </c>
      <c r="B12" s="16" t="inlineStr">
        <is>
          <t>俠白</t>
        </is>
      </c>
      <c r="C12" s="16" t="inlineStr">
        <is>
          <t>Xiábái</t>
        </is>
      </c>
      <c r="D12" s="16" t="inlineStr">
        <is>
          <t>Clasping the White / Supporting the Lung</t>
        </is>
      </c>
      <c r="E12" s="16" t="inlineStr">
        <is>
          <t>Local Point</t>
        </is>
      </c>
      <c r="F12" s="17" t="inlineStr">
        <is>
          <t>Descends Lung qi, regulates qi and blood in the chest, alleviates pain</t>
        </is>
      </c>
      <c r="G12" s="17" t="inlineStr">
        <is>
          <t>Anterolateral upper arm, 4 cun distal to axillary fold, in groove lateral to biceps brachii</t>
        </is>
      </c>
      <c r="H12" s="13" t="inlineStr">
        <is>
          <t>Not Studied</t>
        </is>
      </c>
      <c r="I12" s="14" t="n"/>
    </row>
    <row r="13" ht="20" customHeight="1">
      <c r="A13" s="10" t="inlineStr">
        <is>
          <t>LU-5</t>
        </is>
      </c>
      <c r="B13" s="11" t="inlineStr">
        <is>
          <t>尺澤</t>
        </is>
      </c>
      <c r="C13" s="11" t="inlineStr">
        <is>
          <t>Chǐzé</t>
        </is>
      </c>
      <c r="D13" s="11" t="inlineStr">
        <is>
          <t>Cubit Marsh</t>
        </is>
      </c>
      <c r="E13" s="11" t="inlineStr">
        <is>
          <t>He-Sea &amp; Water Point</t>
        </is>
      </c>
      <c r="F13" s="12" t="inlineStr">
        <is>
          <t>Clears Lung heat (excess/deficiency), descends rebellious qi, stops vomiting/diarrhoea</t>
        </is>
      </c>
      <c r="G13" s="12" t="inlineStr">
        <is>
          <t>On cubital crease of elbow, in depression at radial side of tendon of biceps brachii</t>
        </is>
      </c>
      <c r="H13" s="13" t="inlineStr">
        <is>
          <t>Not Studied</t>
        </is>
      </c>
      <c r="I13" s="14" t="n"/>
    </row>
    <row r="14" ht="20" customHeight="1">
      <c r="A14" s="15" t="inlineStr">
        <is>
          <t>LU-6</t>
        </is>
      </c>
      <c r="B14" s="16" t="inlineStr">
        <is>
          <t>孔最</t>
        </is>
      </c>
      <c r="C14" s="16" t="inlineStr">
        <is>
          <t>Kǒngzuì</t>
        </is>
      </c>
      <c r="D14" s="16" t="inlineStr">
        <is>
          <t>Maximum Opening / Collection Hole</t>
        </is>
      </c>
      <c r="E14" s="16" t="inlineStr">
        <is>
          <t>Xi-Cleft Point</t>
        </is>
      </c>
      <c r="F14" s="17" t="inlineStr">
        <is>
          <t>Clears Lung heat, stops bleeding (coughing blood), regulates Lung qi in acute asthma</t>
        </is>
      </c>
      <c r="G14" s="17" t="inlineStr">
        <is>
          <t>Flexor aspect of forearm, 7 cun proximal to LU-9, on line connecting LU-9 and LU-5</t>
        </is>
      </c>
      <c r="H14" s="13" t="inlineStr">
        <is>
          <t>Not Studied</t>
        </is>
      </c>
      <c r="I14" s="14" t="n"/>
    </row>
    <row r="15" ht="20" customHeight="1">
      <c r="A15" s="10" t="inlineStr">
        <is>
          <t>LU-7</t>
        </is>
      </c>
      <c r="B15" s="11" t="inlineStr">
        <is>
          <t>列缺</t>
        </is>
      </c>
      <c r="C15" s="11" t="inlineStr">
        <is>
          <t>Lièquē</t>
        </is>
      </c>
      <c r="D15" s="11" t="inlineStr">
        <is>
          <t>Broken Sequence / Interrupted Sequence</t>
        </is>
      </c>
      <c r="E15" s="11" t="inlineStr">
        <is>
          <t>Luo-Connecting, Confluent of CV, Command Point (Head/Nape)</t>
        </is>
      </c>
      <c r="F15" s="12" t="inlineStr">
        <is>
          <t>Releases exterior, expels wind, descends Lung qi, benefits head/nape, opens Conception Vessel</t>
        </is>
      </c>
      <c r="G15" s="12" t="inlineStr">
        <is>
          <t>Radial aspect of forearm, 1.5 cun proximal to LI-5, in cleft between brachioradialis/APL tendons</t>
        </is>
      </c>
      <c r="H15" s="13" t="inlineStr">
        <is>
          <t>Not Studied</t>
        </is>
      </c>
      <c r="I15" s="14" t="n"/>
    </row>
    <row r="16" ht="20" customHeight="1">
      <c r="A16" s="15" t="inlineStr">
        <is>
          <t>LU-8</t>
        </is>
      </c>
      <c r="B16" s="16" t="inlineStr">
        <is>
          <t>經渠</t>
        </is>
      </c>
      <c r="C16" s="16" t="inlineStr">
        <is>
          <t>Jīngqú</t>
        </is>
      </c>
      <c r="D16" s="16" t="inlineStr">
        <is>
          <t>Channel Ditch</t>
        </is>
      </c>
      <c r="E16" s="16" t="inlineStr">
        <is>
          <t>Jing-River &amp; Metal Point</t>
        </is>
      </c>
      <c r="F16" s="17" t="inlineStr">
        <is>
          <t>Descends Lung qi, alleviates cough and wheezing, benefits throat</t>
        </is>
      </c>
      <c r="G16" s="17" t="inlineStr">
        <is>
          <t>Radial aspect of forearm, 1 cun proximal to LU-9, in depression between radial artery &amp; styloid process</t>
        </is>
      </c>
      <c r="H16" s="13" t="inlineStr">
        <is>
          <t>Not Studied</t>
        </is>
      </c>
      <c r="I16" s="14" t="n"/>
    </row>
    <row r="17" ht="20" customHeight="1">
      <c r="A17" s="10" t="inlineStr">
        <is>
          <t>LU-9</t>
        </is>
      </c>
      <c r="B17" s="11" t="inlineStr">
        <is>
          <t>太淵</t>
        </is>
      </c>
      <c r="C17" s="11" t="inlineStr">
        <is>
          <t>Tàiyuān</t>
        </is>
      </c>
      <c r="D17" s="11" t="inlineStr">
        <is>
          <t>Supreme Abyss / Great Deep Pool</t>
        </is>
      </c>
      <c r="E17" s="11" t="inlineStr">
        <is>
          <t>Shu-Stream, Yuan-Source, Earth, Hui-Meeting of Vessels</t>
        </is>
      </c>
      <c r="F17" s="12" t="inlineStr">
        <is>
          <t>Tonifies Lung qi and yin, transforms phlegm, regulates one hundred vessels, activates channel</t>
        </is>
      </c>
      <c r="G17" s="12" t="inlineStr">
        <is>
          <t>At wrist joint, in depression between radial artery and tendon of abductor pollicis longus</t>
        </is>
      </c>
      <c r="H17" s="13" t="inlineStr">
        <is>
          <t>Not Studied</t>
        </is>
      </c>
      <c r="I17" s="14" t="n"/>
    </row>
    <row r="18" ht="20" customHeight="1">
      <c r="A18" s="15" t="inlineStr">
        <is>
          <t>LU-10</t>
        </is>
      </c>
      <c r="B18" s="16" t="inlineStr">
        <is>
          <t>魚際</t>
        </is>
      </c>
      <c r="C18" s="16" t="inlineStr">
        <is>
          <t>Yújì</t>
        </is>
      </c>
      <c r="D18" s="16" t="inlineStr">
        <is>
          <t>Fish Border</t>
        </is>
      </c>
      <c r="E18" s="16" t="inlineStr">
        <is>
          <t>Ying-Spring &amp; Fire Point</t>
        </is>
      </c>
      <c r="F18" s="17" t="inlineStr">
        <is>
          <t>Clears heat from Lung and throat, harmonises Stomach, benefits voice</t>
        </is>
      </c>
      <c r="G18" s="17" t="inlineStr">
        <is>
          <t>On thenar eminence of hand, in depression between midpoint of first metacarpal shaft and muscles</t>
        </is>
      </c>
      <c r="H18" s="13" t="inlineStr">
        <is>
          <t>Not Studied</t>
        </is>
      </c>
      <c r="I18" s="14" t="n"/>
    </row>
    <row r="19" ht="20" customHeight="1">
      <c r="A19" s="10" t="inlineStr">
        <is>
          <t>LU-11</t>
        </is>
      </c>
      <c r="B19" s="11" t="inlineStr">
        <is>
          <t>少商</t>
        </is>
      </c>
      <c r="C19" s="11" t="inlineStr">
        <is>
          <t>Shàoshāng</t>
        </is>
      </c>
      <c r="D19" s="11" t="inlineStr">
        <is>
          <t>Lesser Shang / Lesser Metal</t>
        </is>
      </c>
      <c r="E19" s="11" t="inlineStr">
        <is>
          <t>Jing-Well &amp; Wood Point, Ghost Point</t>
        </is>
      </c>
      <c r="F19" s="12" t="inlineStr">
        <is>
          <t>Revives consciousness, clears heat, benefits throat (acute sore throat, mumps), pricked to bleed</t>
        </is>
      </c>
      <c r="G19" s="12" t="inlineStr">
        <is>
          <t>On radial aspect of thumb, 0.1 cun proximal to corner of nail</t>
        </is>
      </c>
      <c r="H19" s="13" t="inlineStr">
        <is>
          <t>Not Studied</t>
        </is>
      </c>
      <c r="I19" s="14" t="n"/>
    </row>
    <row r="20" ht="22" customHeight="1">
      <c r="A20" s="9" t="inlineStr">
        <is>
          <t>LARGE INTESTINE MERIDIAN POINTS</t>
        </is>
      </c>
    </row>
    <row r="21" ht="20" customHeight="1">
      <c r="A21" s="10" t="inlineStr">
        <is>
          <t>LI-1</t>
        </is>
      </c>
      <c r="B21" s="11" t="inlineStr">
        <is>
          <t>商陽</t>
        </is>
      </c>
      <c r="C21" s="11" t="inlineStr">
        <is>
          <t>Shāngyáng</t>
        </is>
      </c>
      <c r="D21" s="11" t="inlineStr">
        <is>
          <t>Shang Yang / Lesser Shang</t>
        </is>
      </c>
      <c r="E21" s="11" t="inlineStr">
        <is>
          <t>Jing-Well &amp; Metal Point</t>
        </is>
      </c>
      <c r="F21" s="12" t="inlineStr">
        <is>
          <t>Clears heat, reduces swelling, benefits throat and teeth, revives consciousness</t>
        </is>
      </c>
      <c r="G21" s="12" t="inlineStr">
        <is>
          <t>Radial side of index finger, 0.1 cun proximal to corner of nail</t>
        </is>
      </c>
      <c r="H21" s="13" t="inlineStr">
        <is>
          <t>Not Studied</t>
        </is>
      </c>
      <c r="I21" s="14" t="n"/>
    </row>
    <row r="22" ht="20" customHeight="1">
      <c r="A22" s="15" t="inlineStr">
        <is>
          <t>LI-2</t>
        </is>
      </c>
      <c r="B22" s="16" t="inlineStr">
        <is>
          <t>二間</t>
        </is>
      </c>
      <c r="C22" s="16" t="inlineStr">
        <is>
          <t>Èrjiān</t>
        </is>
      </c>
      <c r="D22" s="16" t="inlineStr">
        <is>
          <t>Second Space</t>
        </is>
      </c>
      <c r="E22" s="16" t="inlineStr">
        <is>
          <t>Ying-Spring &amp; Water Point</t>
        </is>
      </c>
      <c r="F22" s="17" t="inlineStr">
        <is>
          <t>Expels wind, clears heat, reduces swelling, alleviates toothache/sore throat</t>
        </is>
      </c>
      <c r="G22" s="17" t="inlineStr">
        <is>
          <t>Radial border of index finger, in depression just distal to metacarpo-phalangeal joint</t>
        </is>
      </c>
      <c r="H22" s="13" t="inlineStr">
        <is>
          <t>Not Studied</t>
        </is>
      </c>
      <c r="I22" s="14" t="n"/>
    </row>
    <row r="23" ht="20" customHeight="1">
      <c r="A23" s="10" t="inlineStr">
        <is>
          <t>LI-3</t>
        </is>
      </c>
      <c r="B23" s="11" t="inlineStr">
        <is>
          <t>三間</t>
        </is>
      </c>
      <c r="C23" s="11" t="inlineStr">
        <is>
          <t>Sānjiān</t>
        </is>
      </c>
      <c r="D23" s="11" t="inlineStr">
        <is>
          <t>Third Space</t>
        </is>
      </c>
      <c r="E23" s="11" t="inlineStr">
        <is>
          <t>Shu-Stream &amp; Wood Point</t>
        </is>
      </c>
      <c r="F23" s="12" t="inlineStr">
        <is>
          <t>Clears wind-heat, benefits throat/teeth, dispels fullness, treats index finger stiffness</t>
        </is>
      </c>
      <c r="G23" s="12" t="inlineStr">
        <is>
          <t>Radial side of index finger, in substantial depression proximal to head of second metacarpal</t>
        </is>
      </c>
      <c r="H23" s="13" t="inlineStr">
        <is>
          <t>Not Studied</t>
        </is>
      </c>
      <c r="I23" s="14" t="n"/>
    </row>
    <row r="24" ht="20" customHeight="1">
      <c r="A24" s="15" t="inlineStr">
        <is>
          <t>LI-4</t>
        </is>
      </c>
      <c r="B24" s="16" t="inlineStr">
        <is>
          <t>合谷</t>
        </is>
      </c>
      <c r="C24" s="16" t="inlineStr">
        <is>
          <t>Hégǔ</t>
        </is>
      </c>
      <c r="D24" s="16" t="inlineStr">
        <is>
          <t>Joining Valley</t>
        </is>
      </c>
      <c r="E24" s="16" t="inlineStr">
        <is>
          <t>Yuan-Source, Command Point (Face/Mouth), Heavenly Star</t>
        </is>
      </c>
      <c r="F24" s="17" t="inlineStr">
        <is>
          <t>Expels wind, releases exterior, regulates face/mouth, activates qi/blood (Four Gates), induces labour</t>
        </is>
      </c>
      <c r="G24" s="17" t="inlineStr">
        <is>
          <t>Dorsum of hand, between 1st &amp; 2nd metacarpals, at midpoint of 2nd metacarpal bone radial border</t>
        </is>
      </c>
      <c r="H24" s="13" t="inlineStr">
        <is>
          <t>Not Studied</t>
        </is>
      </c>
      <c r="I24" s="14" t="n"/>
    </row>
    <row r="25" ht="20" customHeight="1">
      <c r="A25" s="10" t="inlineStr">
        <is>
          <t>LI-5</t>
        </is>
      </c>
      <c r="B25" s="11" t="inlineStr">
        <is>
          <t>陽溪</t>
        </is>
      </c>
      <c r="C25" s="11" t="inlineStr">
        <is>
          <t>Yángxī</t>
        </is>
      </c>
      <c r="D25" s="11" t="inlineStr">
        <is>
          <t>Yang Stream</t>
        </is>
      </c>
      <c r="E25" s="11" t="inlineStr">
        <is>
          <t>Jing-River &amp; Fire Point</t>
        </is>
      </c>
      <c r="F25" s="12" t="inlineStr">
        <is>
          <t>Clears yangming fire/heat, benefits wrist joint, calms spirit, treats headache/tinnitus</t>
        </is>
      </c>
      <c r="G25" s="12" t="inlineStr">
        <is>
          <t>Radial side of wrist, in center of anatomical snuffbox (between EPL and EPB tendons)</t>
        </is>
      </c>
      <c r="H25" s="13" t="inlineStr">
        <is>
          <t>Not Studied</t>
        </is>
      </c>
      <c r="I25" s="14" t="n"/>
    </row>
    <row r="26" ht="20" customHeight="1">
      <c r="A26" s="15" t="inlineStr">
        <is>
          <t>LI-6</t>
        </is>
      </c>
      <c r="B26" s="16" t="inlineStr">
        <is>
          <t>偏歷</t>
        </is>
      </c>
      <c r="C26" s="16" t="inlineStr">
        <is>
          <t>Piānlì</t>
        </is>
      </c>
      <c r="D26" s="16" t="inlineStr">
        <is>
          <t>Veering Passage</t>
        </is>
      </c>
      <c r="E26" s="16" t="inlineStr">
        <is>
          <t>Luo-Connecting Point</t>
        </is>
      </c>
      <c r="F26" s="17" t="inlineStr">
        <is>
          <t>Regulates water passages, opens Lung qi, expels wind, treats acute oedema and tinnitus</t>
        </is>
      </c>
      <c r="G26" s="17" t="inlineStr">
        <is>
          <t>Radial side of forearm, 3 cun proximal to LI-5, on line connecting LI-5 and LI-11</t>
        </is>
      </c>
      <c r="H26" s="13" t="inlineStr">
        <is>
          <t>Not Studied</t>
        </is>
      </c>
      <c r="I26" s="14" t="n"/>
    </row>
    <row r="27" ht="20" customHeight="1">
      <c r="A27" s="10" t="inlineStr">
        <is>
          <t>LI-7</t>
        </is>
      </c>
      <c r="B27" s="11" t="inlineStr">
        <is>
          <t>溫溜</t>
        </is>
      </c>
      <c r="C27" s="11" t="inlineStr">
        <is>
          <t>Wēnliū</t>
        </is>
      </c>
      <c r="D27" s="11" t="inlineStr">
        <is>
          <t>Warm Flow</t>
        </is>
      </c>
      <c r="E27" s="11" t="inlineStr">
        <is>
          <t>Xi-Cleft Point</t>
        </is>
      </c>
      <c r="F27" s="12" t="inlineStr">
        <is>
          <t>Clears heat, detoxifies poison, treats acute painful swelling of face/throat, regulates intestines</t>
        </is>
      </c>
      <c r="G27" s="12" t="inlineStr">
        <is>
          <t>Radial side of forearm, 5 cun proximal to LI-5, on line connecting LI-5 and LI-11</t>
        </is>
      </c>
      <c r="H27" s="13" t="inlineStr">
        <is>
          <t>Not Studied</t>
        </is>
      </c>
      <c r="I27" s="14" t="n"/>
    </row>
    <row r="28" ht="20" customHeight="1">
      <c r="A28" s="15" t="inlineStr">
        <is>
          <t>LI-8</t>
        </is>
      </c>
      <c r="B28" s="16" t="inlineStr">
        <is>
          <t>下廉</t>
        </is>
      </c>
      <c r="C28" s="16" t="inlineStr">
        <is>
          <t>Xiàlián</t>
        </is>
      </c>
      <c r="D28" s="16" t="inlineStr">
        <is>
          <t>Lower Angle</t>
        </is>
      </c>
      <c r="E28" s="16" t="inlineStr">
        <is>
          <t>Local Point</t>
        </is>
      </c>
      <c r="F28" s="17" t="inlineStr">
        <is>
          <t>Regulates Small Intestine, clears heat, treats arm pain and abdominal distention</t>
        </is>
      </c>
      <c r="G28" s="17" t="inlineStr">
        <is>
          <t>Radial side of forearm, 4 cun distal to LI-11, on line connecting LI-5 and LI-11</t>
        </is>
      </c>
      <c r="H28" s="13" t="inlineStr">
        <is>
          <t>Not Studied</t>
        </is>
      </c>
      <c r="I28" s="14" t="n"/>
    </row>
    <row r="29" ht="20" customHeight="1">
      <c r="A29" s="10" t="inlineStr">
        <is>
          <t>LI-9</t>
        </is>
      </c>
      <c r="B29" s="11" t="inlineStr">
        <is>
          <t>上廉</t>
        </is>
      </c>
      <c r="C29" s="11" t="inlineStr">
        <is>
          <t>Shànglián</t>
        </is>
      </c>
      <c r="D29" s="11" t="inlineStr">
        <is>
          <t>Upper Angle</t>
        </is>
      </c>
      <c r="E29" s="11" t="inlineStr">
        <is>
          <t>Local Point</t>
        </is>
      </c>
      <c r="F29" s="12" t="inlineStr">
        <is>
          <t>Harmonises Large Intestine, treats shoulder/arm pain and numbness, regulates Large Intestine</t>
        </is>
      </c>
      <c r="G29" s="12" t="inlineStr">
        <is>
          <t>Radial side of forearm, 3 cun distal to LI-11, on line connecting LI-5 and LI-11</t>
        </is>
      </c>
      <c r="H29" s="13" t="inlineStr">
        <is>
          <t>Not Studied</t>
        </is>
      </c>
      <c r="I29" s="14" t="n"/>
    </row>
    <row r="30" ht="20" customHeight="1">
      <c r="A30" s="15" t="inlineStr">
        <is>
          <t>LI-10</t>
        </is>
      </c>
      <c r="B30" s="16" t="inlineStr">
        <is>
          <t>手三里</t>
        </is>
      </c>
      <c r="C30" s="16" t="inlineStr">
        <is>
          <t>Shǒusānlǐ</t>
        </is>
      </c>
      <c r="D30" s="16" t="inlineStr">
        <is>
          <t>Arm Three Miles</t>
        </is>
      </c>
      <c r="E30" s="16" t="inlineStr">
        <is>
          <t>Local Point</t>
        </is>
      </c>
      <c r="F30" s="17" t="inlineStr">
        <is>
          <t>Invigorates qi and blood in upper limb, alleviates pain/numbness, harmonises Stomach</t>
        </is>
      </c>
      <c r="G30" s="17" t="inlineStr">
        <is>
          <t>Radial side of forearm, 2 cun distal to LI-11, on line connecting LI-5 and LI-11</t>
        </is>
      </c>
      <c r="H30" s="13" t="inlineStr">
        <is>
          <t>Not Studied</t>
        </is>
      </c>
      <c r="I30" s="14" t="n"/>
    </row>
    <row r="31" ht="20" customHeight="1">
      <c r="A31" s="10" t="inlineStr">
        <is>
          <t>LI-11</t>
        </is>
      </c>
      <c r="B31" s="11" t="inlineStr">
        <is>
          <t>曲池</t>
        </is>
      </c>
      <c r="C31" s="11" t="inlineStr">
        <is>
          <t>Qūchí</t>
        </is>
      </c>
      <c r="D31" s="11" t="inlineStr">
        <is>
          <t>Pool at the Crook</t>
        </is>
      </c>
      <c r="E31" s="11" t="inlineStr">
        <is>
          <t>He-Sea &amp; Earth Point, Ghost Point, Heavenly Star</t>
        </is>
      </c>
      <c r="F31" s="12" t="inlineStr">
        <is>
          <t>Clears excess heat/fire, cools blood, expels wind, drains damp, treats hypertension &amp; skin itching</t>
        </is>
      </c>
      <c r="G31" s="12" t="inlineStr">
        <is>
          <t>At elbow, midway between LU-5 and lateral epicondyle, at lateral end of transverse crease</t>
        </is>
      </c>
      <c r="H31" s="13" t="inlineStr">
        <is>
          <t>Not Studied</t>
        </is>
      </c>
      <c r="I31" s="14" t="n"/>
    </row>
    <row r="32" ht="20" customHeight="1">
      <c r="A32" s="15" t="inlineStr">
        <is>
          <t>LI-12</t>
        </is>
      </c>
      <c r="B32" s="16" t="inlineStr">
        <is>
          <t>肘髎</t>
        </is>
      </c>
      <c r="C32" s="16" t="inlineStr">
        <is>
          <t>Zhǒuliáo</t>
        </is>
      </c>
      <c r="D32" s="16" t="inlineStr">
        <is>
          <t>Elbow Crevice</t>
        </is>
      </c>
      <c r="E32" s="16" t="inlineStr">
        <is>
          <t>Local Point</t>
        </is>
      </c>
      <c r="F32" s="17" t="inlineStr">
        <is>
          <t>Activates channel, benefits elbow joint, treats local pain and stiffness</t>
        </is>
      </c>
      <c r="G32" s="17" t="inlineStr">
        <is>
          <t>Flexed elbow, in depression 1 cun proximal and 1 cun lateral to LI-11, above lateral epicondyle</t>
        </is>
      </c>
      <c r="H32" s="13" t="inlineStr">
        <is>
          <t>Not Studied</t>
        </is>
      </c>
      <c r="I32" s="14" t="n"/>
    </row>
    <row r="33" ht="20" customHeight="1">
      <c r="A33" s="10" t="inlineStr">
        <is>
          <t>LI-13</t>
        </is>
      </c>
      <c r="B33" s="11" t="inlineStr">
        <is>
          <t>手五里</t>
        </is>
      </c>
      <c r="C33" s="11" t="inlineStr">
        <is>
          <t>Shǒuwǔlǐ</t>
        </is>
      </c>
      <c r="D33" s="11" t="inlineStr">
        <is>
          <t>Arm Five Miles</t>
        </is>
      </c>
      <c r="E33" s="11" t="inlineStr">
        <is>
          <t>Local Point</t>
        </is>
      </c>
      <c r="F33" s="12" t="inlineStr">
        <is>
          <t>Regulates qi, alleviates pain, resolves phlegm nodules/scrofula</t>
        </is>
      </c>
      <c r="G33" s="12" t="inlineStr">
        <is>
          <t>Lateral aspect of upper arm, 3 cun proximal to LI-11, on line connecting LI-11 and LI-15</t>
        </is>
      </c>
      <c r="H33" s="13" t="inlineStr">
        <is>
          <t>Not Studied</t>
        </is>
      </c>
      <c r="I33" s="14" t="n"/>
    </row>
    <row r="34" ht="20" customHeight="1">
      <c r="A34" s="15" t="inlineStr">
        <is>
          <t>LI-14</t>
        </is>
      </c>
      <c r="B34" s="16" t="inlineStr">
        <is>
          <t>臂臑</t>
        </is>
      </c>
      <c r="C34" s="16" t="inlineStr">
        <is>
          <t>Bìnào</t>
        </is>
      </c>
      <c r="D34" s="16" t="inlineStr">
        <is>
          <t>Upper Arm</t>
        </is>
      </c>
      <c r="E34" s="16" t="inlineStr">
        <is>
          <t>Meeting of LI, Gallbladder, Stomach, Yang Linking</t>
        </is>
      </c>
      <c r="F34" s="17" t="inlineStr">
        <is>
          <t>Activates channel, regulates qi, dissipates phlegm nodules (goitre/scrofula), benefits eyes</t>
        </is>
      </c>
      <c r="G34" s="17" t="inlineStr">
        <is>
          <t>Anterolateral upper arm, at distal insertion of deltoid muscle, 7 cun proximal to LI-11</t>
        </is>
      </c>
      <c r="H34" s="13" t="inlineStr">
        <is>
          <t>Not Studied</t>
        </is>
      </c>
      <c r="I34" s="14" t="n"/>
    </row>
    <row r="35" ht="20" customHeight="1">
      <c r="A35" s="10" t="inlineStr">
        <is>
          <t>LI-15</t>
        </is>
      </c>
      <c r="B35" s="11" t="inlineStr">
        <is>
          <t>肩髃</t>
        </is>
      </c>
      <c r="C35" s="11" t="inlineStr">
        <is>
          <t>Jiānyú</t>
        </is>
      </c>
      <c r="D35" s="11" t="inlineStr">
        <is>
          <t>Shoulder Bone</t>
        </is>
      </c>
      <c r="E35" s="11" t="inlineStr">
        <is>
          <t>Meeting of LI with Yang Motility vessel</t>
        </is>
      </c>
      <c r="F35" s="12" t="inlineStr">
        <is>
          <t>Foremost point for shoulder pain, dispels wind-damp, clears heat, treats urticaria</t>
        </is>
      </c>
      <c r="G35" s="12" t="inlineStr">
        <is>
          <t>In depression anterior and inferior to lateral tip of acromion when arm is abducted</t>
        </is>
      </c>
      <c r="H35" s="13" t="inlineStr">
        <is>
          <t>Not Studied</t>
        </is>
      </c>
      <c r="I35" s="14" t="n"/>
    </row>
    <row r="36" ht="20" customHeight="1">
      <c r="A36" s="15" t="inlineStr">
        <is>
          <t>LI-16</t>
        </is>
      </c>
      <c r="B36" s="16" t="inlineStr">
        <is>
          <t>巨骨</t>
        </is>
      </c>
      <c r="C36" s="16" t="inlineStr">
        <is>
          <t>Jùgǔ</t>
        </is>
      </c>
      <c r="D36" s="16" t="inlineStr">
        <is>
          <t>Great Bone</t>
        </is>
      </c>
      <c r="E36" s="16" t="inlineStr">
        <is>
          <t>Meeting of LI with Yang Motility vessel</t>
        </is>
      </c>
      <c r="F36" s="17" t="inlineStr">
        <is>
          <t>Activates shoulder, benefits joint, dispels blood stasis in chest/shoulder, resolves scrofula</t>
        </is>
      </c>
      <c r="G36" s="17" t="inlineStr">
        <is>
          <t>On superior aspect of shoulder, in depression between acromial end of clavicle &amp; scapular spine</t>
        </is>
      </c>
      <c r="H36" s="13" t="inlineStr">
        <is>
          <t>Not Studied</t>
        </is>
      </c>
      <c r="I36" s="14" t="n"/>
    </row>
    <row r="37" ht="20" customHeight="1">
      <c r="A37" s="10" t="inlineStr">
        <is>
          <t>LI-17</t>
        </is>
      </c>
      <c r="B37" s="11" t="inlineStr">
        <is>
          <t>天鼎</t>
        </is>
      </c>
      <c r="C37" s="11" t="inlineStr">
        <is>
          <t>Tiāndǐng</t>
        </is>
      </c>
      <c r="D37" s="11" t="inlineStr">
        <is>
          <t>Heaven's Tripod</t>
        </is>
      </c>
      <c r="E37" s="11" t="inlineStr">
        <is>
          <t>Local Point</t>
        </is>
      </c>
      <c r="F37" s="12" t="inlineStr">
        <is>
          <t>Benefits throat, clears heat, descends Lung qi, treats goitre and loss of voice</t>
        </is>
      </c>
      <c r="G37" s="12" t="inlineStr">
        <is>
          <t>Lateral neck, on posterior border of SCM, 1 cun inferior to LI-18</t>
        </is>
      </c>
      <c r="H37" s="13" t="inlineStr">
        <is>
          <t>Not Studied</t>
        </is>
      </c>
      <c r="I37" s="14" t="n"/>
    </row>
    <row r="38" ht="20" customHeight="1">
      <c r="A38" s="15" t="inlineStr">
        <is>
          <t>LI-18</t>
        </is>
      </c>
      <c r="B38" s="16" t="inlineStr">
        <is>
          <t>扶突</t>
        </is>
      </c>
      <c r="C38" s="16" t="inlineStr">
        <is>
          <t>Fútū</t>
        </is>
      </c>
      <c r="D38" s="16" t="inlineStr">
        <is>
          <t>Support the Prominence</t>
        </is>
      </c>
      <c r="E38" s="16" t="inlineStr">
        <is>
          <t>Window of Heaven Point</t>
        </is>
      </c>
      <c r="F38" s="17" t="inlineStr">
        <is>
          <t>Benefits throat, descends Lung qi (cough/wheezing), resolves scrofula/goitre, loss of voice</t>
        </is>
      </c>
      <c r="G38" s="17" t="inlineStr">
        <is>
          <t>Lateral neck, level with laryngeal prominence, between sternal and clavicular heads of SCM</t>
        </is>
      </c>
      <c r="H38" s="13" t="inlineStr">
        <is>
          <t>Not Studied</t>
        </is>
      </c>
      <c r="I38" s="14" t="n"/>
    </row>
    <row r="39" ht="20" customHeight="1">
      <c r="A39" s="10" t="inlineStr">
        <is>
          <t>LI-19</t>
        </is>
      </c>
      <c r="B39" s="11" t="inlineStr">
        <is>
          <t>口禾髎</t>
        </is>
      </c>
      <c r="C39" s="11" t="inlineStr">
        <is>
          <t>Kǒuhéliáo</t>
        </is>
      </c>
      <c r="D39" s="11" t="inlineStr">
        <is>
          <t>Mouth Grain Crevice</t>
        </is>
      </c>
      <c r="E39" s="11" t="inlineStr">
        <is>
          <t>Local Point</t>
        </is>
      </c>
      <c r="F39" s="12" t="inlineStr">
        <is>
          <t>Opens nasal passages, dispels wind, treats nasal congestion, nosebleed and deviation of mouth</t>
        </is>
      </c>
      <c r="G39" s="12" t="inlineStr">
        <is>
          <t>Below lateral border of nostril, level with Renzhong GV-26, 0.5 cun lateral to midline</t>
        </is>
      </c>
      <c r="H39" s="13" t="inlineStr">
        <is>
          <t>Not Studied</t>
        </is>
      </c>
      <c r="I39" s="14" t="n"/>
    </row>
    <row r="40" ht="20" customHeight="1">
      <c r="A40" s="15" t="inlineStr">
        <is>
          <t>LI-20</t>
        </is>
      </c>
      <c r="B40" s="16" t="inlineStr">
        <is>
          <t>迎香</t>
        </is>
      </c>
      <c r="C40" s="16" t="inlineStr">
        <is>
          <t>Yíngxiāng</t>
        </is>
      </c>
      <c r="D40" s="16" t="inlineStr">
        <is>
          <t>Welcome Fragrance</t>
        </is>
      </c>
      <c r="E40" s="16" t="inlineStr">
        <is>
          <t>Meeting of LI and Stomach channels</t>
        </is>
      </c>
      <c r="F40" s="17" t="inlineStr">
        <is>
          <t>Foremost local point for all nasal disorders (rhinitis, congestion, loss of smell, sinusitis)</t>
        </is>
      </c>
      <c r="G40" s="17" t="inlineStr">
        <is>
          <t>In naso-labial groove, at level of midpoint of lateral border of ala nasi</t>
        </is>
      </c>
      <c r="H40" s="13" t="inlineStr">
        <is>
          <t>Not Studied</t>
        </is>
      </c>
      <c r="I40" s="14" t="n"/>
    </row>
    <row r="41" ht="22" customHeight="1">
      <c r="A41" s="9" t="inlineStr">
        <is>
          <t>STOMACH MERIDIAN POINTS</t>
        </is>
      </c>
    </row>
    <row r="42" ht="20" customHeight="1">
      <c r="A42" s="15" t="inlineStr">
        <is>
          <t>ST-1</t>
        </is>
      </c>
      <c r="B42" s="16" t="inlineStr">
        <is>
          <t>承泣</t>
        </is>
      </c>
      <c r="C42" s="16" t="inlineStr">
        <is>
          <t>Chéngqì</t>
        </is>
      </c>
      <c r="D42" s="16" t="inlineStr">
        <is>
          <t>Container of Tears</t>
        </is>
      </c>
      <c r="E42" s="16" t="inlineStr">
        <is>
          <t>Meeting of Stomach, Yang Motility, Conception</t>
        </is>
      </c>
      <c r="F42" s="17" t="inlineStr">
        <is>
          <t>Foremost point for eye diseases (redness, lacrimation, visual obstruction), expels wind</t>
        </is>
      </c>
      <c r="G42" s="17" t="inlineStr">
        <is>
          <t>With eyes looking straight ahead, directly below pupil, between eyeball and infraorbital ridge</t>
        </is>
      </c>
      <c r="H42" s="13" t="inlineStr">
        <is>
          <t>Not Studied</t>
        </is>
      </c>
      <c r="I42" s="14" t="n"/>
    </row>
    <row r="43" ht="20" customHeight="1">
      <c r="A43" s="10" t="inlineStr">
        <is>
          <t>ST-2</t>
        </is>
      </c>
      <c r="B43" s="11" t="inlineStr">
        <is>
          <t>四白</t>
        </is>
      </c>
      <c r="C43" s="11" t="inlineStr">
        <is>
          <t>Sìbái</t>
        </is>
      </c>
      <c r="D43" s="11" t="inlineStr">
        <is>
          <t>Four Whites</t>
        </is>
      </c>
      <c r="E43" s="11" t="inlineStr">
        <is>
          <t>Local Point</t>
        </is>
      </c>
      <c r="F43" s="12" t="inlineStr">
        <is>
          <t>Eliminates wind, clears heat, benefits eyes, treats facial pain, twitching of eyelids, sinusitis</t>
        </is>
      </c>
      <c r="G43" s="12" t="inlineStr">
        <is>
          <t>With eyes looking straight ahead, 1 cun directly below pupil, in depression at infraorbital foramen</t>
        </is>
      </c>
      <c r="H43" s="13" t="inlineStr">
        <is>
          <t>Not Studied</t>
        </is>
      </c>
      <c r="I43" s="14" t="n"/>
    </row>
    <row r="44" ht="20" customHeight="1">
      <c r="A44" s="15" t="inlineStr">
        <is>
          <t>ST-3</t>
        </is>
      </c>
      <c r="B44" s="16" t="inlineStr">
        <is>
          <t>巨髎</t>
        </is>
      </c>
      <c r="C44" s="16" t="inlineStr">
        <is>
          <t>Jùliáo</t>
        </is>
      </c>
      <c r="D44" s="16" t="inlineStr">
        <is>
          <t>Great Crevice</t>
        </is>
      </c>
      <c r="E44" s="16" t="inlineStr">
        <is>
          <t>Meeting of Stomach with Yang Motility vessel</t>
        </is>
      </c>
      <c r="F44" s="17" t="inlineStr">
        <is>
          <t>Eliminates facial wind, dissipates swelling, alleviates pain (toothache, cheek pain)</t>
        </is>
      </c>
      <c r="G44" s="17" t="inlineStr">
        <is>
          <t>Directly below pupil, level with lower border of ala nasi, on lateral side of naso-labial groove</t>
        </is>
      </c>
      <c r="H44" s="13" t="inlineStr">
        <is>
          <t>Not Studied</t>
        </is>
      </c>
      <c r="I44" s="14" t="n"/>
    </row>
    <row r="45" ht="20" customHeight="1">
      <c r="A45" s="10" t="inlineStr">
        <is>
          <t>ST-4</t>
        </is>
      </c>
      <c r="B45" s="11" t="inlineStr">
        <is>
          <t>地倉</t>
        </is>
      </c>
      <c r="C45" s="11" t="inlineStr">
        <is>
          <t>Dìcāng</t>
        </is>
      </c>
      <c r="D45" s="11" t="inlineStr">
        <is>
          <t>Earth Granary</t>
        </is>
      </c>
      <c r="E45" s="11" t="inlineStr">
        <is>
          <t>Meeting of ST, LI, Yang Motility, Conception</t>
        </is>
      </c>
      <c r="F45" s="12" t="inlineStr">
        <is>
          <t>Eliminates facial wind, treats deviation of mouth/eye (facial paralysis, stroke sequelae)</t>
        </is>
      </c>
      <c r="G45" s="12" t="inlineStr">
        <is>
          <t>0.4 cun lateral to corner of mouth, in continuation of naso-labial groove</t>
        </is>
      </c>
      <c r="H45" s="13" t="inlineStr">
        <is>
          <t>Not Studied</t>
        </is>
      </c>
      <c r="I45" s="14" t="n"/>
    </row>
    <row r="46" ht="20" customHeight="1">
      <c r="A46" s="15" t="inlineStr">
        <is>
          <t>ST-5</t>
        </is>
      </c>
      <c r="B46" s="16" t="inlineStr">
        <is>
          <t>大迎</t>
        </is>
      </c>
      <c r="C46" s="16" t="inlineStr">
        <is>
          <t>Dàyíng</t>
        </is>
      </c>
      <c r="D46" s="16" t="inlineStr">
        <is>
          <t>Great Welcome</t>
        </is>
      </c>
      <c r="E46" s="16" t="inlineStr">
        <is>
          <t>Local Point</t>
        </is>
      </c>
      <c r="F46" s="17" t="inlineStr">
        <is>
          <t>Dispels wind, reduces swelling, treats lockjaw, toothache, swelling of cheek</t>
        </is>
      </c>
      <c r="G46" s="17" t="inlineStr">
        <is>
          <t>Directly anterior to angle of jaw, in depression at anterior border of masseter muscle</t>
        </is>
      </c>
      <c r="H46" s="13" t="inlineStr">
        <is>
          <t>Not Studied</t>
        </is>
      </c>
      <c r="I46" s="14" t="n"/>
    </row>
    <row r="47" ht="20" customHeight="1">
      <c r="A47" s="10" t="inlineStr">
        <is>
          <t>ST-6</t>
        </is>
      </c>
      <c r="B47" s="11" t="inlineStr">
        <is>
          <t>頰車</t>
        </is>
      </c>
      <c r="C47" s="11" t="inlineStr">
        <is>
          <t>Jiáchē</t>
        </is>
      </c>
      <c r="D47" s="11" t="inlineStr">
        <is>
          <t>Jaw Bone</t>
        </is>
      </c>
      <c r="E47" s="11" t="inlineStr">
        <is>
          <t>Ghost Point</t>
        </is>
      </c>
      <c r="F47" s="12" t="inlineStr">
        <is>
          <t>Eliminates wind, benefits jaw/teeth, treats lockjaw, toothache, cheek swelling, facial paralysis</t>
        </is>
      </c>
      <c r="G47" s="12" t="inlineStr">
        <is>
          <t>Approximately 1 fingerbreadth anterior and superior to angle of jaw, prominence of masseter</t>
        </is>
      </c>
      <c r="H47" s="13" t="inlineStr">
        <is>
          <t>Not Studied</t>
        </is>
      </c>
      <c r="I47" s="14" t="n"/>
    </row>
    <row r="48" ht="20" customHeight="1">
      <c r="A48" s="15" t="inlineStr">
        <is>
          <t>ST-7</t>
        </is>
      </c>
      <c r="B48" s="16" t="inlineStr">
        <is>
          <t>下關</t>
        </is>
      </c>
      <c r="C48" s="16" t="inlineStr">
        <is>
          <t>Xiàguān</t>
        </is>
      </c>
      <c r="D48" s="16" t="inlineStr">
        <is>
          <t>Below the Joint</t>
        </is>
      </c>
      <c r="E48" s="16" t="inlineStr">
        <is>
          <t>Meeting of Stomach and Gallbladder channels</t>
        </is>
      </c>
      <c r="F48" s="17" t="inlineStr">
        <is>
          <t>Benefits ears, jaw, and teeth, treats lockjaw, TMJ disorder, toothache, facial pain</t>
        </is>
      </c>
      <c r="G48" s="17" t="inlineStr">
        <is>
          <t>At lower border of zygomatic arch, in depression anterior to condyloid process of mandible</t>
        </is>
      </c>
      <c r="H48" s="13" t="inlineStr">
        <is>
          <t>Not Studied</t>
        </is>
      </c>
      <c r="I48" s="14" t="n"/>
    </row>
    <row r="49" ht="20" customHeight="1">
      <c r="A49" s="10" t="inlineStr">
        <is>
          <t>ST-8</t>
        </is>
      </c>
      <c r="B49" s="11" t="inlineStr">
        <is>
          <t>頭維</t>
        </is>
      </c>
      <c r="C49" s="11" t="inlineStr">
        <is>
          <t>Tóuwéi</t>
        </is>
      </c>
      <c r="D49" s="11" t="inlineStr">
        <is>
          <t>Head's Binding</t>
        </is>
      </c>
      <c r="E49" s="11" t="inlineStr">
        <is>
          <t>Meeting of ST, GB, and Yang Linking vessel</t>
        </is>
      </c>
      <c r="F49" s="12" t="inlineStr">
        <is>
          <t>Foremost point for frontal, temporal and vertex headaches, eliminates wind, benefits eyes</t>
        </is>
      </c>
      <c r="G49" s="12" t="inlineStr">
        <is>
          <t>At corner of forehead, 4.5 cun lateral to GV-24, 0.5 cun within anterior hairline</t>
        </is>
      </c>
      <c r="H49" s="13" t="inlineStr">
        <is>
          <t>Not Studied</t>
        </is>
      </c>
      <c r="I49" s="14" t="n"/>
    </row>
    <row r="50" ht="20" customHeight="1">
      <c r="A50" s="15" t="inlineStr">
        <is>
          <t>ST-9</t>
        </is>
      </c>
      <c r="B50" s="16" t="inlineStr">
        <is>
          <t>人迎</t>
        </is>
      </c>
      <c r="C50" s="16" t="inlineStr">
        <is>
          <t>Rényíng</t>
        </is>
      </c>
      <c r="D50" s="16" t="inlineStr">
        <is>
          <t>Man's Welcome</t>
        </is>
      </c>
      <c r="E50" s="16" t="inlineStr">
        <is>
          <t>Window of Heaven, Point of Sea of Qi</t>
        </is>
      </c>
      <c r="F50" s="17" t="inlineStr">
        <is>
          <t>Regulates qi and blood, lowers rebellious yang, treats hypertension, goitre, throat swelling</t>
        </is>
      </c>
      <c r="G50" s="17" t="inlineStr">
        <is>
          <t>Level with tip of laryngeal prominence, 1.5 cun lateral, anterior border of SCM</t>
        </is>
      </c>
      <c r="H50" s="13" t="inlineStr">
        <is>
          <t>Not Studied</t>
        </is>
      </c>
      <c r="I50" s="14" t="n"/>
    </row>
    <row r="51" ht="20" customHeight="1">
      <c r="A51" s="10" t="inlineStr">
        <is>
          <t>ST-10</t>
        </is>
      </c>
      <c r="B51" s="11" t="inlineStr"/>
      <c r="C51" s="11" t="inlineStr"/>
      <c r="D51" s="11" t="inlineStr">
        <is>
          <t>Stomach Point 10</t>
        </is>
      </c>
      <c r="E51" s="11" t="inlineStr">
        <is>
          <t>Standard Meridian Point</t>
        </is>
      </c>
      <c r="F51" s="12" t="inlineStr">
        <is>
          <t>Regulates local meridian qi and blood, alleviates local pain and stiffness</t>
        </is>
      </c>
      <c r="G51" s="12" t="inlineStr">
        <is>
          <t>Along the course of the Stomach meridian (Point 10)</t>
        </is>
      </c>
      <c r="H51" s="13" t="inlineStr">
        <is>
          <t>Not Studied</t>
        </is>
      </c>
      <c r="I51" s="14" t="n"/>
    </row>
    <row r="52" ht="20" customHeight="1">
      <c r="A52" s="15" t="inlineStr">
        <is>
          <t>ST-11</t>
        </is>
      </c>
      <c r="B52" s="16" t="inlineStr"/>
      <c r="C52" s="16" t="inlineStr"/>
      <c r="D52" s="16" t="inlineStr">
        <is>
          <t>Stomach Point 11</t>
        </is>
      </c>
      <c r="E52" s="16" t="inlineStr">
        <is>
          <t>Standard Meridian Point</t>
        </is>
      </c>
      <c r="F52" s="17" t="inlineStr">
        <is>
          <t>Regulates local meridian qi and blood, alleviates local pain and stiffness</t>
        </is>
      </c>
      <c r="G52" s="17" t="inlineStr">
        <is>
          <t>Along the course of the Stomach meridian (Point 11)</t>
        </is>
      </c>
      <c r="H52" s="13" t="inlineStr">
        <is>
          <t>Not Studied</t>
        </is>
      </c>
      <c r="I52" s="14" t="n"/>
    </row>
    <row r="53" ht="20" customHeight="1">
      <c r="A53" s="10" t="inlineStr">
        <is>
          <t>ST-12</t>
        </is>
      </c>
      <c r="B53" s="11" t="inlineStr">
        <is>
          <t>缺盆</t>
        </is>
      </c>
      <c r="C53" s="11" t="inlineStr">
        <is>
          <t>Quēpén</t>
        </is>
      </c>
      <c r="D53" s="11" t="inlineStr">
        <is>
          <t>Empty Basin</t>
        </is>
      </c>
      <c r="E53" s="11" t="inlineStr">
        <is>
          <t>Meeting of ST, LI, SI, SJ, GB channels</t>
        </is>
      </c>
      <c r="F53" s="12" t="inlineStr">
        <is>
          <t>Descends rebellious Lung qi, clears heat from chest, treats cough, dyspnoea, clavicle area pain</t>
        </is>
      </c>
      <c r="G53" s="12" t="inlineStr">
        <is>
          <t>In supraclavicular area, posterior to superior border of clavicle, 4 cun lateral to midline</t>
        </is>
      </c>
      <c r="H53" s="13" t="inlineStr">
        <is>
          <t>Not Studied</t>
        </is>
      </c>
      <c r="I53" s="14" t="n"/>
    </row>
    <row r="54" ht="20" customHeight="1">
      <c r="A54" s="15" t="inlineStr">
        <is>
          <t>ST-13</t>
        </is>
      </c>
      <c r="B54" s="16" t="inlineStr"/>
      <c r="C54" s="16" t="inlineStr"/>
      <c r="D54" s="16" t="inlineStr">
        <is>
          <t>Stomach Point 13</t>
        </is>
      </c>
      <c r="E54" s="16" t="inlineStr">
        <is>
          <t>Standard Meridian Point</t>
        </is>
      </c>
      <c r="F54" s="17" t="inlineStr">
        <is>
          <t>Regulates local meridian qi and blood, alleviates local pain and stiffness</t>
        </is>
      </c>
      <c r="G54" s="17" t="inlineStr">
        <is>
          <t>Along the course of the Stomach meridian (Point 13)</t>
        </is>
      </c>
      <c r="H54" s="13" t="inlineStr">
        <is>
          <t>Not Studied</t>
        </is>
      </c>
      <c r="I54" s="14" t="n"/>
    </row>
    <row r="55" ht="20" customHeight="1">
      <c r="A55" s="10" t="inlineStr">
        <is>
          <t>ST-14</t>
        </is>
      </c>
      <c r="B55" s="11" t="inlineStr"/>
      <c r="C55" s="11" t="inlineStr"/>
      <c r="D55" s="11" t="inlineStr">
        <is>
          <t>Stomach Point 14</t>
        </is>
      </c>
      <c r="E55" s="11" t="inlineStr">
        <is>
          <t>Standard Meridian Point</t>
        </is>
      </c>
      <c r="F55" s="12" t="inlineStr">
        <is>
          <t>Regulates local meridian qi and blood, alleviates local pain and stiffness</t>
        </is>
      </c>
      <c r="G55" s="12" t="inlineStr">
        <is>
          <t>Along the course of the Stomach meridian (Point 14)</t>
        </is>
      </c>
      <c r="H55" s="13" t="inlineStr">
        <is>
          <t>Not Studied</t>
        </is>
      </c>
      <c r="I55" s="14" t="n"/>
    </row>
    <row r="56" ht="20" customHeight="1">
      <c r="A56" s="15" t="inlineStr">
        <is>
          <t>ST-15</t>
        </is>
      </c>
      <c r="B56" s="16" t="inlineStr"/>
      <c r="C56" s="16" t="inlineStr"/>
      <c r="D56" s="16" t="inlineStr">
        <is>
          <t>Stomach Point 15</t>
        </is>
      </c>
      <c r="E56" s="16" t="inlineStr">
        <is>
          <t>Standard Meridian Point</t>
        </is>
      </c>
      <c r="F56" s="17" t="inlineStr">
        <is>
          <t>Regulates local meridian qi and blood, alleviates local pain and stiffness</t>
        </is>
      </c>
      <c r="G56" s="17" t="inlineStr">
        <is>
          <t>Along the course of the Stomach meridian (Point 15)</t>
        </is>
      </c>
      <c r="H56" s="13" t="inlineStr">
        <is>
          <t>Not Studied</t>
        </is>
      </c>
      <c r="I56" s="14" t="n"/>
    </row>
    <row r="57" ht="20" customHeight="1">
      <c r="A57" s="10" t="inlineStr">
        <is>
          <t>ST-16</t>
        </is>
      </c>
      <c r="B57" s="11" t="inlineStr"/>
      <c r="C57" s="11" t="inlineStr"/>
      <c r="D57" s="11" t="inlineStr">
        <is>
          <t>Stomach Point 16</t>
        </is>
      </c>
      <c r="E57" s="11" t="inlineStr">
        <is>
          <t>Standard Meridian Point</t>
        </is>
      </c>
      <c r="F57" s="12" t="inlineStr">
        <is>
          <t>Regulates local meridian qi and blood, alleviates local pain and stiffness</t>
        </is>
      </c>
      <c r="G57" s="12" t="inlineStr">
        <is>
          <t>Along the course of the Stomach meridian (Point 16)</t>
        </is>
      </c>
      <c r="H57" s="13" t="inlineStr">
        <is>
          <t>Not Studied</t>
        </is>
      </c>
      <c r="I57" s="14" t="n"/>
    </row>
    <row r="58" ht="20" customHeight="1">
      <c r="A58" s="15" t="inlineStr">
        <is>
          <t>ST-17</t>
        </is>
      </c>
      <c r="B58" s="16" t="inlineStr"/>
      <c r="C58" s="16" t="inlineStr"/>
      <c r="D58" s="16" t="inlineStr">
        <is>
          <t>Stomach Point 17</t>
        </is>
      </c>
      <c r="E58" s="16" t="inlineStr">
        <is>
          <t>Standard Meridian Point</t>
        </is>
      </c>
      <c r="F58" s="17" t="inlineStr">
        <is>
          <t>Regulates local meridian qi and blood, alleviates local pain and stiffness</t>
        </is>
      </c>
      <c r="G58" s="17" t="inlineStr">
        <is>
          <t>Along the course of the Stomach meridian (Point 17)</t>
        </is>
      </c>
      <c r="H58" s="13" t="inlineStr">
        <is>
          <t>Not Studied</t>
        </is>
      </c>
      <c r="I58" s="14" t="n"/>
    </row>
    <row r="59" ht="20" customHeight="1">
      <c r="A59" s="10" t="inlineStr">
        <is>
          <t>ST-18</t>
        </is>
      </c>
      <c r="B59" s="11" t="inlineStr">
        <is>
          <t>乳根</t>
        </is>
      </c>
      <c r="C59" s="11" t="inlineStr">
        <is>
          <t>Rǔgēn</t>
        </is>
      </c>
      <c r="D59" s="11" t="inlineStr">
        <is>
          <t>Root of the Breast</t>
        </is>
      </c>
      <c r="E59" s="11" t="inlineStr">
        <is>
          <t>Local Point</t>
        </is>
      </c>
      <c r="F59" s="12" t="inlineStr">
        <is>
          <t>Foremost local point for breast disorders (abscess, pain, insufficient lactation), chest pain</t>
        </is>
      </c>
      <c r="G59" s="12" t="inlineStr">
        <is>
          <t>Directly below nipple, in fifth intercostal space, on mammary line</t>
        </is>
      </c>
      <c r="H59" s="13" t="inlineStr">
        <is>
          <t>Not Studied</t>
        </is>
      </c>
      <c r="I59" s="14" t="n"/>
    </row>
    <row r="60" ht="20" customHeight="1">
      <c r="A60" s="15" t="inlineStr">
        <is>
          <t>ST-19</t>
        </is>
      </c>
      <c r="B60" s="16" t="inlineStr"/>
      <c r="C60" s="16" t="inlineStr"/>
      <c r="D60" s="16" t="inlineStr">
        <is>
          <t>Stomach Point 19</t>
        </is>
      </c>
      <c r="E60" s="16" t="inlineStr">
        <is>
          <t>Standard Meridian Point</t>
        </is>
      </c>
      <c r="F60" s="17" t="inlineStr">
        <is>
          <t>Regulates local meridian qi and blood, alleviates local pain and stiffness</t>
        </is>
      </c>
      <c r="G60" s="17" t="inlineStr">
        <is>
          <t>Along the course of the Stomach meridian (Point 19)</t>
        </is>
      </c>
      <c r="H60" s="13" t="inlineStr">
        <is>
          <t>Not Studied</t>
        </is>
      </c>
      <c r="I60" s="14" t="n"/>
    </row>
    <row r="61" ht="20" customHeight="1">
      <c r="A61" s="10" t="inlineStr">
        <is>
          <t>ST-20</t>
        </is>
      </c>
      <c r="B61" s="11" t="inlineStr"/>
      <c r="C61" s="11" t="inlineStr"/>
      <c r="D61" s="11" t="inlineStr">
        <is>
          <t>Stomach Point 20</t>
        </is>
      </c>
      <c r="E61" s="11" t="inlineStr">
        <is>
          <t>Standard Meridian Point</t>
        </is>
      </c>
      <c r="F61" s="12" t="inlineStr">
        <is>
          <t>Regulates local meridian qi and blood, alleviates local pain and stiffness</t>
        </is>
      </c>
      <c r="G61" s="12" t="inlineStr">
        <is>
          <t>Along the course of the Stomach meridian (Point 20)</t>
        </is>
      </c>
      <c r="H61" s="13" t="inlineStr">
        <is>
          <t>Not Studied</t>
        </is>
      </c>
      <c r="I61" s="14" t="n"/>
    </row>
    <row r="62" ht="20" customHeight="1">
      <c r="A62" s="15" t="inlineStr">
        <is>
          <t>ST-21</t>
        </is>
      </c>
      <c r="B62" s="16" t="inlineStr">
        <is>
          <t>梁門</t>
        </is>
      </c>
      <c r="C62" s="16" t="inlineStr">
        <is>
          <t>Liángmén</t>
        </is>
      </c>
      <c r="D62" s="16" t="inlineStr">
        <is>
          <t>Beam Gate</t>
        </is>
      </c>
      <c r="E62" s="16" t="inlineStr">
        <is>
          <t>Local Point</t>
        </is>
      </c>
      <c r="F62" s="17" t="inlineStr">
        <is>
          <t>Regulates middle jiao qi, transforms food stagnation, stops epigastric pain, vomiting, diarrhoea</t>
        </is>
      </c>
      <c r="G62" s="17" t="inlineStr">
        <is>
          <t>On abdomen, 2 cun lateral to midline, 4 cun superior to umbilicus, level with CV-12</t>
        </is>
      </c>
      <c r="H62" s="13" t="inlineStr">
        <is>
          <t>Not Studied</t>
        </is>
      </c>
      <c r="I62" s="14" t="n"/>
    </row>
    <row r="63" ht="20" customHeight="1">
      <c r="A63" s="10" t="inlineStr">
        <is>
          <t>ST-22</t>
        </is>
      </c>
      <c r="B63" s="11" t="inlineStr"/>
      <c r="C63" s="11" t="inlineStr"/>
      <c r="D63" s="11" t="inlineStr">
        <is>
          <t>Stomach Point 22</t>
        </is>
      </c>
      <c r="E63" s="11" t="inlineStr">
        <is>
          <t>Standard Meridian Point</t>
        </is>
      </c>
      <c r="F63" s="12" t="inlineStr">
        <is>
          <t>Regulates local meridian qi and blood, alleviates local pain and stiffness</t>
        </is>
      </c>
      <c r="G63" s="12" t="inlineStr">
        <is>
          <t>Along the course of the Stomach meridian (Point 22)</t>
        </is>
      </c>
      <c r="H63" s="13" t="inlineStr">
        <is>
          <t>Not Studied</t>
        </is>
      </c>
      <c r="I63" s="14" t="n"/>
    </row>
    <row r="64" ht="20" customHeight="1">
      <c r="A64" s="15" t="inlineStr">
        <is>
          <t>ST-23</t>
        </is>
      </c>
      <c r="B64" s="16" t="inlineStr"/>
      <c r="C64" s="16" t="inlineStr"/>
      <c r="D64" s="16" t="inlineStr">
        <is>
          <t>Stomach Point 23</t>
        </is>
      </c>
      <c r="E64" s="16" t="inlineStr">
        <is>
          <t>Standard Meridian Point</t>
        </is>
      </c>
      <c r="F64" s="17" t="inlineStr">
        <is>
          <t>Regulates local meridian qi and blood, alleviates local pain and stiffness</t>
        </is>
      </c>
      <c r="G64" s="17" t="inlineStr">
        <is>
          <t>Along the course of the Stomach meridian (Point 23)</t>
        </is>
      </c>
      <c r="H64" s="13" t="inlineStr">
        <is>
          <t>Not Studied</t>
        </is>
      </c>
      <c r="I64" s="14" t="n"/>
    </row>
    <row r="65" ht="20" customHeight="1">
      <c r="A65" s="10" t="inlineStr">
        <is>
          <t>ST-24</t>
        </is>
      </c>
      <c r="B65" s="11" t="inlineStr"/>
      <c r="C65" s="11" t="inlineStr"/>
      <c r="D65" s="11" t="inlineStr">
        <is>
          <t>Stomach Point 24</t>
        </is>
      </c>
      <c r="E65" s="11" t="inlineStr">
        <is>
          <t>Standard Meridian Point</t>
        </is>
      </c>
      <c r="F65" s="12" t="inlineStr">
        <is>
          <t>Regulates local meridian qi and blood, alleviates local pain and stiffness</t>
        </is>
      </c>
      <c r="G65" s="12" t="inlineStr">
        <is>
          <t>Along the course of the Stomach meridian (Point 24)</t>
        </is>
      </c>
      <c r="H65" s="13" t="inlineStr">
        <is>
          <t>Not Studied</t>
        </is>
      </c>
      <c r="I65" s="14" t="n"/>
    </row>
    <row r="66" ht="20" customHeight="1">
      <c r="A66" s="15" t="inlineStr">
        <is>
          <t>ST-25</t>
        </is>
      </c>
      <c r="B66" s="16" t="inlineStr">
        <is>
          <t>天樞</t>
        </is>
      </c>
      <c r="C66" s="16" t="inlineStr">
        <is>
          <t>Tiānshū</t>
        </is>
      </c>
      <c r="D66" s="16" t="inlineStr">
        <is>
          <t>Heaven's Pivot</t>
        </is>
      </c>
      <c r="E66" s="16" t="inlineStr">
        <is>
          <t>Front-Mu of Large Intestine</t>
        </is>
      </c>
      <c r="F66" s="17" t="inlineStr">
        <is>
          <t>Foremost point for all intestinal disorders (diarrhoea, constipation, dysentery, abdominal pain)</t>
        </is>
      </c>
      <c r="G66" s="17" t="inlineStr">
        <is>
          <t>On abdomen, 2 cun lateral to center of umbilicus</t>
        </is>
      </c>
      <c r="H66" s="13" t="inlineStr">
        <is>
          <t>Not Studied</t>
        </is>
      </c>
      <c r="I66" s="14" t="n"/>
    </row>
    <row r="67" ht="20" customHeight="1">
      <c r="A67" s="10" t="inlineStr">
        <is>
          <t>ST-26</t>
        </is>
      </c>
      <c r="B67" s="11" t="inlineStr"/>
      <c r="C67" s="11" t="inlineStr"/>
      <c r="D67" s="11" t="inlineStr">
        <is>
          <t>Stomach Point 26</t>
        </is>
      </c>
      <c r="E67" s="11" t="inlineStr">
        <is>
          <t>Standard Meridian Point</t>
        </is>
      </c>
      <c r="F67" s="12" t="inlineStr">
        <is>
          <t>Regulates local meridian qi and blood, alleviates local pain and stiffness</t>
        </is>
      </c>
      <c r="G67" s="12" t="inlineStr">
        <is>
          <t>Along the course of the Stomach meridian (Point 26)</t>
        </is>
      </c>
      <c r="H67" s="13" t="inlineStr">
        <is>
          <t>Not Studied</t>
        </is>
      </c>
      <c r="I67" s="14" t="n"/>
    </row>
    <row r="68" ht="20" customHeight="1">
      <c r="A68" s="15" t="inlineStr">
        <is>
          <t>ST-27</t>
        </is>
      </c>
      <c r="B68" s="16" t="inlineStr"/>
      <c r="C68" s="16" t="inlineStr"/>
      <c r="D68" s="16" t="inlineStr">
        <is>
          <t>Stomach Point 27</t>
        </is>
      </c>
      <c r="E68" s="16" t="inlineStr">
        <is>
          <t>Standard Meridian Point</t>
        </is>
      </c>
      <c r="F68" s="17" t="inlineStr">
        <is>
          <t>Regulates local meridian qi and blood, alleviates local pain and stiffness</t>
        </is>
      </c>
      <c r="G68" s="17" t="inlineStr">
        <is>
          <t>Along the course of the Stomach meridian (Point 27)</t>
        </is>
      </c>
      <c r="H68" s="13" t="inlineStr">
        <is>
          <t>Not Studied</t>
        </is>
      </c>
      <c r="I68" s="14" t="n"/>
    </row>
    <row r="69" ht="20" customHeight="1">
      <c r="A69" s="10" t="inlineStr">
        <is>
          <t>ST-28</t>
        </is>
      </c>
      <c r="B69" s="11" t="inlineStr">
        <is>
          <t>水道</t>
        </is>
      </c>
      <c r="C69" s="11" t="inlineStr">
        <is>
          <t>Shuǐdào</t>
        </is>
      </c>
      <c r="D69" s="11" t="inlineStr">
        <is>
          <t>Water Passage</t>
        </is>
      </c>
      <c r="E69" s="11" t="inlineStr">
        <is>
          <t>Local Point</t>
        </is>
      </c>
      <c r="F69" s="12" t="inlineStr">
        <is>
          <t>Regulates lower jiao, dispels stagnation, benefits Bladder/uterus, treats dysmenorrhoea, retention</t>
        </is>
      </c>
      <c r="G69" s="12" t="inlineStr">
        <is>
          <t>On lower abdomen, 2 cun lateral to midline, 3 cun inferior to umbilicus, level with CV-4</t>
        </is>
      </c>
      <c r="H69" s="13" t="inlineStr">
        <is>
          <t>Not Studied</t>
        </is>
      </c>
      <c r="I69" s="14" t="n"/>
    </row>
    <row r="70" ht="20" customHeight="1">
      <c r="A70" s="15" t="inlineStr">
        <is>
          <t>ST-29</t>
        </is>
      </c>
      <c r="B70" s="16" t="inlineStr">
        <is>
          <t>歸來</t>
        </is>
      </c>
      <c r="C70" s="16" t="inlineStr">
        <is>
          <t>Guīlái</t>
        </is>
      </c>
      <c r="D70" s="16" t="inlineStr">
        <is>
          <t>Return</t>
        </is>
      </c>
      <c r="E70" s="16" t="inlineStr">
        <is>
          <t>Local Point</t>
        </is>
      </c>
      <c r="F70" s="17" t="inlineStr">
        <is>
          <t>Warms lower jiao, regulates menstruation, benefits genitals (impotence, hernia, uterine prolapse)</t>
        </is>
      </c>
      <c r="G70" s="17" t="inlineStr">
        <is>
          <t>On lower abdomen, 2 cun lateral to midline, 4 cun inferior to umbilicus, level with CV-3</t>
        </is>
      </c>
      <c r="H70" s="13" t="inlineStr">
        <is>
          <t>Not Studied</t>
        </is>
      </c>
      <c r="I70" s="14" t="n"/>
    </row>
    <row r="71" ht="20" customHeight="1">
      <c r="A71" s="10" t="inlineStr">
        <is>
          <t>ST-30</t>
        </is>
      </c>
      <c r="B71" s="11" t="inlineStr">
        <is>
          <t>氣衝</t>
        </is>
      </c>
      <c r="C71" s="11" t="inlineStr">
        <is>
          <t>Qìchōng</t>
        </is>
      </c>
      <c r="D71" s="11" t="inlineStr">
        <is>
          <t>Rushing Qi</t>
        </is>
      </c>
      <c r="E71" s="11" t="inlineStr">
        <is>
          <t>Meeting of ST with Penetrating vessel, Sea of Water/Grain</t>
        </is>
      </c>
      <c r="F71" s="12" t="inlineStr">
        <is>
          <t>Regulates qi in lower jiao, treats hernia, genital pain, running piglet qi, assists uterus</t>
        </is>
      </c>
      <c r="G71" s="12" t="inlineStr">
        <is>
          <t>On lower abdomen, 2 cun lateral to midline, level with superior border of pubic symphysis</t>
        </is>
      </c>
      <c r="H71" s="13" t="inlineStr">
        <is>
          <t>Not Studied</t>
        </is>
      </c>
      <c r="I71" s="14" t="n"/>
    </row>
    <row r="72" ht="20" customHeight="1">
      <c r="A72" s="15" t="inlineStr">
        <is>
          <t>ST-31</t>
        </is>
      </c>
      <c r="B72" s="16" t="inlineStr">
        <is>
          <t>髀關</t>
        </is>
      </c>
      <c r="C72" s="16" t="inlineStr">
        <is>
          <t>Bìguān</t>
        </is>
      </c>
      <c r="D72" s="16" t="inlineStr">
        <is>
          <t>Thigh Gate</t>
        </is>
      </c>
      <c r="E72" s="16" t="inlineStr">
        <is>
          <t>Local Point</t>
        </is>
      </c>
      <c r="F72" s="17" t="inlineStr">
        <is>
          <t>Invigorates leg qi/blood, dispels wind-damp, treats leg paralysis, numbness, hip/thigh pain</t>
        </is>
      </c>
      <c r="G72" s="17" t="inlineStr">
        <is>
          <t>Upper thigh, in depression lateral to sartorius, level with lower border of pubic symphysis</t>
        </is>
      </c>
      <c r="H72" s="13" t="inlineStr">
        <is>
          <t>Not Studied</t>
        </is>
      </c>
      <c r="I72" s="14" t="n"/>
    </row>
    <row r="73" ht="20" customHeight="1">
      <c r="A73" s="10" t="inlineStr">
        <is>
          <t>ST-32</t>
        </is>
      </c>
      <c r="B73" s="11" t="inlineStr"/>
      <c r="C73" s="11" t="inlineStr"/>
      <c r="D73" s="11" t="inlineStr">
        <is>
          <t>Stomach Point 32</t>
        </is>
      </c>
      <c r="E73" s="11" t="inlineStr">
        <is>
          <t>Standard Meridian Point</t>
        </is>
      </c>
      <c r="F73" s="12" t="inlineStr">
        <is>
          <t>Regulates local meridian qi and blood, alleviates local pain and stiffness</t>
        </is>
      </c>
      <c r="G73" s="12" t="inlineStr">
        <is>
          <t>Along the course of the Stomach meridian (Point 32)</t>
        </is>
      </c>
      <c r="H73" s="13" t="inlineStr">
        <is>
          <t>Not Studied</t>
        </is>
      </c>
      <c r="I73" s="14" t="n"/>
    </row>
    <row r="74" ht="20" customHeight="1">
      <c r="A74" s="15" t="inlineStr">
        <is>
          <t>ST-33</t>
        </is>
      </c>
      <c r="B74" s="16" t="inlineStr"/>
      <c r="C74" s="16" t="inlineStr"/>
      <c r="D74" s="16" t="inlineStr">
        <is>
          <t>Stomach Point 33</t>
        </is>
      </c>
      <c r="E74" s="16" t="inlineStr">
        <is>
          <t>Standard Meridian Point</t>
        </is>
      </c>
      <c r="F74" s="17" t="inlineStr">
        <is>
          <t>Regulates local meridian qi and blood, alleviates local pain and stiffness</t>
        </is>
      </c>
      <c r="G74" s="17" t="inlineStr">
        <is>
          <t>Along the course of the Stomach meridian (Point 33)</t>
        </is>
      </c>
      <c r="H74" s="13" t="inlineStr">
        <is>
          <t>Not Studied</t>
        </is>
      </c>
      <c r="I74" s="14" t="n"/>
    </row>
    <row r="75" ht="20" customHeight="1">
      <c r="A75" s="10" t="inlineStr">
        <is>
          <t>ST-34</t>
        </is>
      </c>
      <c r="B75" s="11" t="inlineStr">
        <is>
          <t>梁丘</t>
        </is>
      </c>
      <c r="C75" s="11" t="inlineStr">
        <is>
          <t>Liángqiū</t>
        </is>
      </c>
      <c r="D75" s="11" t="inlineStr">
        <is>
          <t>Ridge Mound</t>
        </is>
      </c>
      <c r="E75" s="11" t="inlineStr">
        <is>
          <t>Xi-Cleft Point</t>
        </is>
      </c>
      <c r="F75" s="12" t="inlineStr">
        <is>
          <t>Xi-cleft point of ST, treats acute Stomach pain, breast abscess, knee pain and swelling</t>
        </is>
      </c>
      <c r="G75" s="12" t="inlineStr">
        <is>
          <t>On thigh, 2 cun proximal to superior border of patella, on line connecting ASIS &amp; lateral patella</t>
        </is>
      </c>
      <c r="H75" s="13" t="inlineStr">
        <is>
          <t>Not Studied</t>
        </is>
      </c>
      <c r="I75" s="14" t="n"/>
    </row>
    <row r="76" ht="20" customHeight="1">
      <c r="A76" s="15" t="inlineStr">
        <is>
          <t>ST-35</t>
        </is>
      </c>
      <c r="B76" s="16" t="inlineStr">
        <is>
          <t>犢鼻</t>
        </is>
      </c>
      <c r="C76" s="16" t="inlineStr">
        <is>
          <t>Dúbí</t>
        </is>
      </c>
      <c r="D76" s="16" t="inlineStr">
        <is>
          <t>Calf's Nose</t>
        </is>
      </c>
      <c r="E76" s="16" t="inlineStr">
        <is>
          <t>Local Point</t>
        </is>
      </c>
      <c r="F76" s="17" t="inlineStr">
        <is>
          <t>Essential point for knee pain, swelling, wind-damp arthritis, stiffness of knee joint</t>
        </is>
      </c>
      <c r="G76" s="17" t="inlineStr">
        <is>
          <t>On knee, in hollow below patella and lateral to patellar ligament</t>
        </is>
      </c>
      <c r="H76" s="13" t="inlineStr">
        <is>
          <t>Not Studied</t>
        </is>
      </c>
      <c r="I76" s="14" t="n"/>
    </row>
    <row r="77" ht="20" customHeight="1">
      <c r="A77" s="10" t="inlineStr">
        <is>
          <t>ST-36</t>
        </is>
      </c>
      <c r="B77" s="11" t="inlineStr">
        <is>
          <t>足三里</t>
        </is>
      </c>
      <c r="C77" s="11" t="inlineStr">
        <is>
          <t>Zusānlǐ</t>
        </is>
      </c>
      <c r="D77" s="11" t="inlineStr">
        <is>
          <t>Leg Three Miles</t>
        </is>
      </c>
      <c r="E77" s="11" t="inlineStr">
        <is>
          <t>He-Sea, Earth, Command Point (Abdomen), Heavenly Star</t>
        </is>
      </c>
      <c r="F77" s="12" t="inlineStr">
        <is>
          <t>Foremost point on body to fortify Spleen/Stomach, tonify qi/blood/yin, calm spirit, treat knee pain</t>
        </is>
      </c>
      <c r="G77" s="12" t="inlineStr">
        <is>
          <t>3 cun inferior to ST-35, one finger-breadth lateral to anterior crest of tibia</t>
        </is>
      </c>
      <c r="H77" s="13" t="inlineStr">
        <is>
          <t>Not Studied</t>
        </is>
      </c>
      <c r="I77" s="14" t="n"/>
    </row>
    <row r="78" ht="20" customHeight="1">
      <c r="A78" s="15" t="inlineStr">
        <is>
          <t>ST-37</t>
        </is>
      </c>
      <c r="B78" s="16" t="inlineStr">
        <is>
          <t>商巨虛</t>
        </is>
      </c>
      <c r="C78" s="16" t="inlineStr">
        <is>
          <t>Shàngjùxū</t>
        </is>
      </c>
      <c r="D78" s="16" t="inlineStr">
        <is>
          <t>Upper Great Void</t>
        </is>
      </c>
      <c r="E78" s="16" t="inlineStr">
        <is>
          <t>Lower He-Sea of Large Intestine, Sea of Blood</t>
        </is>
      </c>
      <c r="F78" s="17" t="inlineStr">
        <is>
          <t>Essential point for Large Intestine diseases (acute diarrhoea, dysentery, appendicitis, pain)</t>
        </is>
      </c>
      <c r="G78" s="17" t="inlineStr">
        <is>
          <t>3 cun inferior to ST-36, one finger-breadth lateral to anterior crest of tibia</t>
        </is>
      </c>
      <c r="H78" s="13" t="inlineStr">
        <is>
          <t>Not Studied</t>
        </is>
      </c>
      <c r="I78" s="14" t="n"/>
    </row>
    <row r="79" ht="20" customHeight="1">
      <c r="A79" s="10" t="inlineStr">
        <is>
          <t>ST-38</t>
        </is>
      </c>
      <c r="B79" s="11" t="inlineStr">
        <is>
          <t>條口</t>
        </is>
      </c>
      <c r="C79" s="11" t="inlineStr">
        <is>
          <t>Tiáokǒu</t>
        </is>
      </c>
      <c r="D79" s="11" t="inlineStr">
        <is>
          <t>Lines Opening</t>
        </is>
      </c>
      <c r="E79" s="11" t="inlineStr">
        <is>
          <t>Empirical Point</t>
        </is>
      </c>
      <c r="F79" s="12" t="inlineStr">
        <is>
          <t>Empirical point for frozen shoulder (needled on affected side while moving shoulder), leg pain</t>
        </is>
      </c>
      <c r="G79" s="12" t="inlineStr">
        <is>
          <t>8 cun inferior to ST-35, one finger-breadth lateral to anterior crest of tibia</t>
        </is>
      </c>
      <c r="H79" s="13" t="inlineStr">
        <is>
          <t>Not Studied</t>
        </is>
      </c>
      <c r="I79" s="14" t="n"/>
    </row>
    <row r="80" ht="20" customHeight="1">
      <c r="A80" s="15" t="inlineStr">
        <is>
          <t>ST-39</t>
        </is>
      </c>
      <c r="B80" s="16" t="inlineStr">
        <is>
          <t>下巨虛</t>
        </is>
      </c>
      <c r="C80" s="16" t="inlineStr">
        <is>
          <t>Xiàjùxū</t>
        </is>
      </c>
      <c r="D80" s="16" t="inlineStr">
        <is>
          <t>Lower Great Void</t>
        </is>
      </c>
      <c r="E80" s="16" t="inlineStr">
        <is>
          <t>Lower He-Sea of Small Intestine, Sea of Blood</t>
        </is>
      </c>
      <c r="F80" s="17" t="inlineStr">
        <is>
          <t>Regulates Small Intestine qi, transforms stagnation, treats lower abdominal pain, diarrhoea</t>
        </is>
      </c>
      <c r="G80" s="17" t="inlineStr">
        <is>
          <t>3 cun inferior to ST-37, one finger-breadth lateral to anterior crest of tibia</t>
        </is>
      </c>
      <c r="H80" s="13" t="inlineStr">
        <is>
          <t>Not Studied</t>
        </is>
      </c>
      <c r="I80" s="14" t="n"/>
    </row>
    <row r="81" ht="20" customHeight="1">
      <c r="A81" s="10" t="inlineStr">
        <is>
          <t>ST-40</t>
        </is>
      </c>
      <c r="B81" s="11" t="inlineStr">
        <is>
          <t>豐隆</t>
        </is>
      </c>
      <c r="C81" s="11" t="inlineStr">
        <is>
          <t>Fēnglóng</t>
        </is>
      </c>
      <c r="D81" s="11" t="inlineStr">
        <is>
          <t>Abundant Bulge</t>
        </is>
      </c>
      <c r="E81" s="11" t="inlineStr">
        <is>
          <t>Luo-Connecting Point</t>
        </is>
      </c>
      <c r="F81" s="12" t="inlineStr">
        <is>
          <t>Single most important point to transform phlegm in body, calms spirit, treats cough, mania, stroke</t>
        </is>
      </c>
      <c r="G81" s="12" t="inlineStr">
        <is>
          <t>8 cun proximal to lateral malleolus, two finger-breadths lateral to anterior crest of tibia</t>
        </is>
      </c>
      <c r="H81" s="13" t="inlineStr">
        <is>
          <t>Not Studied</t>
        </is>
      </c>
      <c r="I81" s="14" t="n"/>
    </row>
    <row r="82" ht="20" customHeight="1">
      <c r="A82" s="15" t="inlineStr">
        <is>
          <t>ST-41</t>
        </is>
      </c>
      <c r="B82" s="16" t="inlineStr">
        <is>
          <t>解溪</t>
        </is>
      </c>
      <c r="C82" s="16" t="inlineStr">
        <is>
          <t>Jiěxī</t>
        </is>
      </c>
      <c r="D82" s="16" t="inlineStr">
        <is>
          <t>Stream Divide</t>
        </is>
      </c>
      <c r="E82" s="16" t="inlineStr">
        <is>
          <t>Jing-River &amp; Fire Point</t>
        </is>
      </c>
      <c r="F82" s="17" t="inlineStr">
        <is>
          <t>Clears heat from ST channel/fu, calms spirit, treats ankle pain, drop-foot, headache, mania</t>
        </is>
      </c>
      <c r="G82" s="17" t="inlineStr">
        <is>
          <t>At ankle joint, in depression between EHL and EDL tendons, level with lateral malleolus</t>
        </is>
      </c>
      <c r="H82" s="13" t="inlineStr">
        <is>
          <t>Not Studied</t>
        </is>
      </c>
      <c r="I82" s="14" t="n"/>
    </row>
    <row r="83" ht="20" customHeight="1">
      <c r="A83" s="10" t="inlineStr">
        <is>
          <t>ST-42</t>
        </is>
      </c>
      <c r="B83" s="11" t="inlineStr">
        <is>
          <t>衝陽</t>
        </is>
      </c>
      <c r="C83" s="11" t="inlineStr">
        <is>
          <t>Chōngyáng</t>
        </is>
      </c>
      <c r="D83" s="11" t="inlineStr">
        <is>
          <t>Rushing Yang</t>
        </is>
      </c>
      <c r="E83" s="11" t="inlineStr">
        <is>
          <t>Yuan-Source Point</t>
        </is>
      </c>
      <c r="F83" s="12" t="inlineStr">
        <is>
          <t>Clears ST channel heat, harmonises Stomach fu, calms spirit, treats toothache, foot dorsum pain</t>
        </is>
      </c>
      <c r="G83" s="12" t="inlineStr">
        <is>
          <t>Dorsum of foot, in depression at junction of 2nd/3rd metatarsals, over dorsalis pedis artery</t>
        </is>
      </c>
      <c r="H83" s="13" t="inlineStr">
        <is>
          <t>Not Studied</t>
        </is>
      </c>
      <c r="I83" s="14" t="n"/>
    </row>
    <row r="84" ht="20" customHeight="1">
      <c r="A84" s="15" t="inlineStr">
        <is>
          <t>ST-43</t>
        </is>
      </c>
      <c r="B84" s="16" t="inlineStr">
        <is>
          <t>陷谷</t>
        </is>
      </c>
      <c r="C84" s="16" t="inlineStr">
        <is>
          <t>Xiàngǔ</t>
        </is>
      </c>
      <c r="D84" s="16" t="inlineStr">
        <is>
          <t>Sunken Valley</t>
        </is>
      </c>
      <c r="E84" s="16" t="inlineStr">
        <is>
          <t>Shu-Stream &amp; Wood Point</t>
        </is>
      </c>
      <c r="F84" s="17" t="inlineStr">
        <is>
          <t>Regulates Spleen, dispels facial/ocular oedema, harmonises ST/intestines, treats foot pain</t>
        </is>
      </c>
      <c r="G84" s="17" t="inlineStr">
        <is>
          <t>Dorsum of foot, between 2nd/3rd metatarsals, in depression 1 cun proximal to ST-44</t>
        </is>
      </c>
      <c r="H84" s="13" t="inlineStr">
        <is>
          <t>Not Studied</t>
        </is>
      </c>
      <c r="I84" s="14" t="n"/>
    </row>
    <row r="85" ht="20" customHeight="1">
      <c r="A85" s="10" t="inlineStr">
        <is>
          <t>ST-44</t>
        </is>
      </c>
      <c r="B85" s="11" t="inlineStr">
        <is>
          <t>內庭</t>
        </is>
      </c>
      <c r="C85" s="11" t="inlineStr">
        <is>
          <t>Nèitíng</t>
        </is>
      </c>
      <c r="D85" s="11" t="inlineStr">
        <is>
          <t>Inner Courtyard</t>
        </is>
      </c>
      <c r="E85" s="11" t="inlineStr">
        <is>
          <t>Ying-Spring &amp; Water Point, Heavenly Star</t>
        </is>
      </c>
      <c r="F85" s="12" t="inlineStr">
        <is>
          <t>Clears ST channel heat/fire (toothache, sore throat, nosebleed, facial pain, facial paralysis)</t>
        </is>
      </c>
      <c r="G85" s="12" t="inlineStr">
        <is>
          <t>Dorsum of foot, between 2nd and 3rd toes, 0.5 cun proximal to margin of web</t>
        </is>
      </c>
      <c r="H85" s="13" t="inlineStr">
        <is>
          <t>Not Studied</t>
        </is>
      </c>
      <c r="I85" s="14" t="n"/>
    </row>
    <row r="86" ht="20" customHeight="1">
      <c r="A86" s="15" t="inlineStr">
        <is>
          <t>ST-45</t>
        </is>
      </c>
      <c r="B86" s="16" t="inlineStr">
        <is>
          <t>厲兌</t>
        </is>
      </c>
      <c r="C86" s="16" t="inlineStr">
        <is>
          <t>Lìduì</t>
        </is>
      </c>
      <c r="D86" s="16" t="inlineStr">
        <is>
          <t>Strict Exchange</t>
        </is>
      </c>
      <c r="E86" s="16" t="inlineStr">
        <is>
          <t>Jing-Well &amp; Metal Point</t>
        </is>
      </c>
      <c r="F86" s="17" t="inlineStr">
        <is>
          <t>Clears heat, calms spirit, treats nightmares, mania, toothache, facial swelling, revives consciousness</t>
        </is>
      </c>
      <c r="G86" s="17" t="inlineStr">
        <is>
          <t>On lateral aspect of 2nd toe, 0.1 cun proximal to corner of nail</t>
        </is>
      </c>
      <c r="H86" s="13" t="inlineStr">
        <is>
          <t>Not Studied</t>
        </is>
      </c>
      <c r="I86" s="14" t="n"/>
    </row>
    <row r="87" ht="22" customHeight="1">
      <c r="A87" s="9" t="inlineStr">
        <is>
          <t>SPLEEN MERIDIAN POINTS</t>
        </is>
      </c>
    </row>
    <row r="88" ht="20" customHeight="1">
      <c r="A88" s="15" t="inlineStr">
        <is>
          <t>SP-1</t>
        </is>
      </c>
      <c r="B88" s="16" t="inlineStr">
        <is>
          <t>隱白</t>
        </is>
      </c>
      <c r="C88" s="16" t="inlineStr">
        <is>
          <t>Yǐnbái</t>
        </is>
      </c>
      <c r="D88" s="16" t="inlineStr">
        <is>
          <t>Hidden White</t>
        </is>
      </c>
      <c r="E88" s="16" t="inlineStr">
        <is>
          <t>Jing-Well &amp; Wood Point, Ghost Point</t>
        </is>
      </c>
      <c r="F88" s="17" t="inlineStr">
        <is>
          <t>Stops bleeding (uterine bleeding, blood in urine/stool), moxibustion preferred, calms spirit</t>
        </is>
      </c>
      <c r="G88" s="17" t="inlineStr">
        <is>
          <t>On medial aspect of big toe, 0.1 cun proximal to corner of nail</t>
        </is>
      </c>
      <c r="H88" s="13" t="inlineStr">
        <is>
          <t>Not Studied</t>
        </is>
      </c>
      <c r="I88" s="14" t="n"/>
    </row>
    <row r="89" ht="20" customHeight="1">
      <c r="A89" s="10" t="inlineStr">
        <is>
          <t>SP-2</t>
        </is>
      </c>
      <c r="B89" s="11" t="inlineStr">
        <is>
          <t>大都</t>
        </is>
      </c>
      <c r="C89" s="11" t="inlineStr">
        <is>
          <t>Dàdū</t>
        </is>
      </c>
      <c r="D89" s="11" t="inlineStr">
        <is>
          <t>Great Metropolis</t>
        </is>
      </c>
      <c r="E89" s="11" t="inlineStr">
        <is>
          <t>Ying-Spring &amp; Fire (Mother) Point</t>
        </is>
      </c>
      <c r="F89" s="12" t="inlineStr">
        <is>
          <t>Clears Spleen heat, resolves damp-heat, harmonises middle jiao, local big toe pain</t>
        </is>
      </c>
      <c r="G89" s="12" t="inlineStr">
        <is>
          <t>Medial aspect of big toe, in depression distal and inferior to 1st MTP joint</t>
        </is>
      </c>
      <c r="H89" s="13" t="inlineStr">
        <is>
          <t>Not Studied</t>
        </is>
      </c>
      <c r="I89" s="14" t="n"/>
    </row>
    <row r="90" ht="20" customHeight="1">
      <c r="A90" s="15" t="inlineStr">
        <is>
          <t>SP-3</t>
        </is>
      </c>
      <c r="B90" s="16" t="inlineStr">
        <is>
          <t>太白</t>
        </is>
      </c>
      <c r="C90" s="16" t="inlineStr">
        <is>
          <t>Tàibái</t>
        </is>
      </c>
      <c r="D90" s="16" t="inlineStr">
        <is>
          <t>Supreme White</t>
        </is>
      </c>
      <c r="E90" s="16" t="inlineStr">
        <is>
          <t>Shu-Stream, Yuan-Source, Earth Point</t>
        </is>
      </c>
      <c r="F90" s="17" t="inlineStr">
        <is>
          <t>Vigorously tonifies Spleen qi and yang, resolves dampness, regulates qi, stops diarrhoea</t>
        </is>
      </c>
      <c r="G90" s="17" t="inlineStr">
        <is>
          <t>Medial side of foot, in depression proximal and inferior to head of 1st metatarsal</t>
        </is>
      </c>
      <c r="H90" s="13" t="inlineStr">
        <is>
          <t>Not Studied</t>
        </is>
      </c>
      <c r="I90" s="14" t="n"/>
    </row>
    <row r="91" ht="20" customHeight="1">
      <c r="A91" s="10" t="inlineStr">
        <is>
          <t>SP-4</t>
        </is>
      </c>
      <c r="B91" s="11" t="inlineStr">
        <is>
          <t>公孫</t>
        </is>
      </c>
      <c r="C91" s="11" t="inlineStr">
        <is>
          <t>Gōngsūn</t>
        </is>
      </c>
      <c r="D91" s="11" t="inlineStr">
        <is>
          <t>Grandfather Grandson</t>
        </is>
      </c>
      <c r="E91" s="11" t="inlineStr">
        <is>
          <t>Luo-Connecting, Confluent of Chong Mai</t>
        </is>
      </c>
      <c r="F91" s="12" t="inlineStr">
        <is>
          <t>Fortifies Spleen, harmonises Stomach (vomiting, nausea), regulates Chong Mai, calms spirit</t>
        </is>
      </c>
      <c r="G91" s="12" t="inlineStr">
        <is>
          <t>Medial side of foot, in depression distal and inferior to base of 1st metatarsal</t>
        </is>
      </c>
      <c r="H91" s="13" t="inlineStr">
        <is>
          <t>Not Studied</t>
        </is>
      </c>
      <c r="I91" s="14" t="n"/>
    </row>
    <row r="92" ht="20" customHeight="1">
      <c r="A92" s="15" t="inlineStr">
        <is>
          <t>SP-5</t>
        </is>
      </c>
      <c r="B92" s="16" t="inlineStr">
        <is>
          <t>商丘</t>
        </is>
      </c>
      <c r="C92" s="16" t="inlineStr">
        <is>
          <t>Shāngqiū</t>
        </is>
      </c>
      <c r="D92" s="16" t="inlineStr">
        <is>
          <t>Shang Mound</t>
        </is>
      </c>
      <c r="E92" s="16" t="inlineStr">
        <is>
          <t>Jing-River &amp; Metal Point</t>
        </is>
      </c>
      <c r="F92" s="17" t="inlineStr">
        <is>
          <t>Fortifies Spleen, resolves dampness (joint pain, fixed arthritis), benefits ankle joint, tongue stiffness</t>
        </is>
      </c>
      <c r="G92" s="17" t="inlineStr">
        <is>
          <t>Medial ankle, in depression at junction of anterior/inferior borders of medial malleolus</t>
        </is>
      </c>
      <c r="H92" s="13" t="inlineStr">
        <is>
          <t>Not Studied</t>
        </is>
      </c>
      <c r="I92" s="14" t="n"/>
    </row>
    <row r="93" ht="20" customHeight="1">
      <c r="A93" s="10" t="inlineStr">
        <is>
          <t>SP-6</t>
        </is>
      </c>
      <c r="B93" s="11" t="inlineStr">
        <is>
          <t>三陰交</t>
        </is>
      </c>
      <c r="C93" s="11" t="inlineStr">
        <is>
          <t>Sānyīnjiāo</t>
        </is>
      </c>
      <c r="D93" s="11" t="inlineStr">
        <is>
          <t>Three Yin Intersection</t>
        </is>
      </c>
      <c r="E93" s="11" t="inlineStr">
        <is>
          <t>Meeting of Spleen, Liver, Kidney channels</t>
        </is>
      </c>
      <c r="F93" s="12" t="inlineStr">
        <is>
          <t>Foremost point for all digestive, gynaecological, sexual, urinary, and emotional disorders</t>
        </is>
      </c>
      <c r="G93" s="12" t="inlineStr">
        <is>
          <t>Medial lower leg, 3 cun superior to medial malleolus, close to posterior crest of tibia</t>
        </is>
      </c>
      <c r="H93" s="13" t="inlineStr">
        <is>
          <t>Not Studied</t>
        </is>
      </c>
      <c r="I93" s="14" t="n"/>
    </row>
    <row r="94" ht="20" customHeight="1">
      <c r="A94" s="15" t="inlineStr">
        <is>
          <t>SP-7</t>
        </is>
      </c>
      <c r="B94" s="16" t="inlineStr"/>
      <c r="C94" s="16" t="inlineStr"/>
      <c r="D94" s="16" t="inlineStr">
        <is>
          <t>Spleen Point 7</t>
        </is>
      </c>
      <c r="E94" s="16" t="inlineStr">
        <is>
          <t>Standard Meridian Point</t>
        </is>
      </c>
      <c r="F94" s="17" t="inlineStr">
        <is>
          <t>Regulates local meridian qi and blood, alleviates local pain and stiffness</t>
        </is>
      </c>
      <c r="G94" s="17" t="inlineStr">
        <is>
          <t>Along the course of the Spleen meridian (Point 7)</t>
        </is>
      </c>
      <c r="H94" s="13" t="inlineStr">
        <is>
          <t>Not Studied</t>
        </is>
      </c>
      <c r="I94" s="14" t="n"/>
    </row>
    <row r="95" ht="20" customHeight="1">
      <c r="A95" s="10" t="inlineStr">
        <is>
          <t>SP-8</t>
        </is>
      </c>
      <c r="B95" s="11" t="inlineStr">
        <is>
          <t>地機</t>
        </is>
      </c>
      <c r="C95" s="11" t="inlineStr">
        <is>
          <t>Dìjī</t>
        </is>
      </c>
      <c r="D95" s="11" t="inlineStr">
        <is>
          <t>Earth Pivot</t>
        </is>
      </c>
      <c r="E95" s="11" t="inlineStr">
        <is>
          <t>Xi-Cleft Point</t>
        </is>
      </c>
      <c r="F95" s="12" t="inlineStr">
        <is>
          <t>Resolves blood stasis in uterus, treats acute dysmenorrhoea, regulates Spleen and resolves damp</t>
        </is>
      </c>
      <c r="G95" s="12" t="inlineStr">
        <is>
          <t>Medial lower leg, 3 cun inferior to SP-9, posterior to medial border of tibia</t>
        </is>
      </c>
      <c r="H95" s="13" t="inlineStr">
        <is>
          <t>Not Studied</t>
        </is>
      </c>
      <c r="I95" s="14" t="n"/>
    </row>
    <row r="96" ht="20" customHeight="1">
      <c r="A96" s="15" t="inlineStr">
        <is>
          <t>SP-9</t>
        </is>
      </c>
      <c r="B96" s="16" t="inlineStr">
        <is>
          <t>陰陵泉</t>
        </is>
      </c>
      <c r="C96" s="16" t="inlineStr">
        <is>
          <t>Yīnlíngquán</t>
        </is>
      </c>
      <c r="D96" s="16" t="inlineStr">
        <is>
          <t>Yin Mound Spring</t>
        </is>
      </c>
      <c r="E96" s="16" t="inlineStr">
        <is>
          <t>He-Sea &amp; Water Point</t>
        </is>
      </c>
      <c r="F96" s="17" t="inlineStr">
        <is>
          <t>Vigorously transforms and drains excess dampness/damp-heat from lower jiao (oedema, urinary difficulty)</t>
        </is>
      </c>
      <c r="G96" s="17" t="inlineStr">
        <is>
          <t>Medial lower leg, in depression at angle formed by medial condyle &amp; posterior border of tibia</t>
        </is>
      </c>
      <c r="H96" s="13" t="inlineStr">
        <is>
          <t>Not Studied</t>
        </is>
      </c>
      <c r="I96" s="14" t="n"/>
    </row>
    <row r="97" ht="20" customHeight="1">
      <c r="A97" s="10" t="inlineStr">
        <is>
          <t>SP-10</t>
        </is>
      </c>
      <c r="B97" s="11" t="inlineStr">
        <is>
          <t>血海</t>
        </is>
      </c>
      <c r="C97" s="11" t="inlineStr">
        <is>
          <t>Xuèhǎi</t>
        </is>
      </c>
      <c r="D97" s="11" t="inlineStr">
        <is>
          <t>Sea of Blood</t>
        </is>
      </c>
      <c r="E97" s="11" t="inlineStr">
        <is>
          <t>Local / Empirical Point</t>
        </is>
      </c>
      <c r="F97" s="12" t="inlineStr">
        <is>
          <t>Cools and invigorates blood, resolves uterine blood stasis, treats skin diseases (urticaria, eczema, itching)</t>
        </is>
      </c>
      <c r="G97" s="12" t="inlineStr">
        <is>
          <t>On thigh, 2 cun proximal to superior border of patella, on bulge of vastus medialis</t>
        </is>
      </c>
      <c r="H97" s="13" t="inlineStr">
        <is>
          <t>Not Studied</t>
        </is>
      </c>
      <c r="I97" s="14" t="n"/>
    </row>
    <row r="98" ht="20" customHeight="1">
      <c r="A98" s="15" t="inlineStr">
        <is>
          <t>SP-11</t>
        </is>
      </c>
      <c r="B98" s="16" t="inlineStr"/>
      <c r="C98" s="16" t="inlineStr"/>
      <c r="D98" s="16" t="inlineStr">
        <is>
          <t>Spleen Point 11</t>
        </is>
      </c>
      <c r="E98" s="16" t="inlineStr">
        <is>
          <t>Standard Meridian Point</t>
        </is>
      </c>
      <c r="F98" s="17" t="inlineStr">
        <is>
          <t>Regulates local meridian qi and blood, alleviates local pain and stiffness</t>
        </is>
      </c>
      <c r="G98" s="17" t="inlineStr">
        <is>
          <t>Along the course of the Spleen meridian (Point 11)</t>
        </is>
      </c>
      <c r="H98" s="13" t="inlineStr">
        <is>
          <t>Not Studied</t>
        </is>
      </c>
      <c r="I98" s="14" t="n"/>
    </row>
    <row r="99" ht="20" customHeight="1">
      <c r="A99" s="10" t="inlineStr">
        <is>
          <t>SP-12</t>
        </is>
      </c>
      <c r="B99" s="11" t="inlineStr"/>
      <c r="C99" s="11" t="inlineStr"/>
      <c r="D99" s="11" t="inlineStr">
        <is>
          <t>Spleen Point 12</t>
        </is>
      </c>
      <c r="E99" s="11" t="inlineStr">
        <is>
          <t>Standard Meridian Point</t>
        </is>
      </c>
      <c r="F99" s="12" t="inlineStr">
        <is>
          <t>Regulates local meridian qi and blood, alleviates local pain and stiffness</t>
        </is>
      </c>
      <c r="G99" s="12" t="inlineStr">
        <is>
          <t>Along the course of the Spleen meridian (Point 12)</t>
        </is>
      </c>
      <c r="H99" s="13" t="inlineStr">
        <is>
          <t>Not Studied</t>
        </is>
      </c>
      <c r="I99" s="14" t="n"/>
    </row>
    <row r="100" ht="20" customHeight="1">
      <c r="A100" s="15" t="inlineStr">
        <is>
          <t>SP-13</t>
        </is>
      </c>
      <c r="B100" s="16" t="inlineStr"/>
      <c r="C100" s="16" t="inlineStr"/>
      <c r="D100" s="16" t="inlineStr">
        <is>
          <t>Spleen Point 13</t>
        </is>
      </c>
      <c r="E100" s="16" t="inlineStr">
        <is>
          <t>Standard Meridian Point</t>
        </is>
      </c>
      <c r="F100" s="17" t="inlineStr">
        <is>
          <t>Regulates local meridian qi and blood, alleviates local pain and stiffness</t>
        </is>
      </c>
      <c r="G100" s="17" t="inlineStr">
        <is>
          <t>Along the course of the Spleen meridian (Point 13)</t>
        </is>
      </c>
      <c r="H100" s="13" t="inlineStr">
        <is>
          <t>Not Studied</t>
        </is>
      </c>
      <c r="I100" s="14" t="n"/>
    </row>
    <row r="101" ht="20" customHeight="1">
      <c r="A101" s="10" t="inlineStr">
        <is>
          <t>SP-14</t>
        </is>
      </c>
      <c r="B101" s="11" t="inlineStr"/>
      <c r="C101" s="11" t="inlineStr"/>
      <c r="D101" s="11" t="inlineStr">
        <is>
          <t>Spleen Point 14</t>
        </is>
      </c>
      <c r="E101" s="11" t="inlineStr">
        <is>
          <t>Standard Meridian Point</t>
        </is>
      </c>
      <c r="F101" s="12" t="inlineStr">
        <is>
          <t>Regulates local meridian qi and blood, alleviates local pain and stiffness</t>
        </is>
      </c>
      <c r="G101" s="12" t="inlineStr">
        <is>
          <t>Along the course of the Spleen meridian (Point 14)</t>
        </is>
      </c>
      <c r="H101" s="13" t="inlineStr">
        <is>
          <t>Not Studied</t>
        </is>
      </c>
      <c r="I101" s="14" t="n"/>
    </row>
    <row r="102" ht="20" customHeight="1">
      <c r="A102" s="15" t="inlineStr">
        <is>
          <t>SP-15</t>
        </is>
      </c>
      <c r="B102" s="16" t="inlineStr">
        <is>
          <t>大橫</t>
        </is>
      </c>
      <c r="C102" s="16" t="inlineStr">
        <is>
          <t>Dàhéng</t>
        </is>
      </c>
      <c r="D102" s="16" t="inlineStr">
        <is>
          <t>Great Horizontal</t>
        </is>
      </c>
      <c r="E102" s="16" t="inlineStr">
        <is>
          <t>Meeting of Spleen with Yin Linking vessel</t>
        </is>
      </c>
      <c r="F102" s="17" t="inlineStr">
        <is>
          <t>Moves qi and regulates Large Intestine, treats severe constipation, cold/damp diarrhoea, sadness</t>
        </is>
      </c>
      <c r="G102" s="17" t="inlineStr">
        <is>
          <t>On abdomen, 4 cun lateral to midline, level with center of umbilicus</t>
        </is>
      </c>
      <c r="H102" s="13" t="inlineStr">
        <is>
          <t>Not Studied</t>
        </is>
      </c>
      <c r="I102" s="14" t="n"/>
    </row>
    <row r="103" ht="20" customHeight="1">
      <c r="A103" s="10" t="inlineStr">
        <is>
          <t>SP-16</t>
        </is>
      </c>
      <c r="B103" s="11" t="inlineStr"/>
      <c r="C103" s="11" t="inlineStr"/>
      <c r="D103" s="11" t="inlineStr">
        <is>
          <t>Spleen Point 16</t>
        </is>
      </c>
      <c r="E103" s="11" t="inlineStr">
        <is>
          <t>Standard Meridian Point</t>
        </is>
      </c>
      <c r="F103" s="12" t="inlineStr">
        <is>
          <t>Regulates local meridian qi and blood, alleviates local pain and stiffness</t>
        </is>
      </c>
      <c r="G103" s="12" t="inlineStr">
        <is>
          <t>Along the course of the Spleen meridian (Point 16)</t>
        </is>
      </c>
      <c r="H103" s="13" t="inlineStr">
        <is>
          <t>Not Studied</t>
        </is>
      </c>
      <c r="I103" s="14" t="n"/>
    </row>
    <row r="104" ht="20" customHeight="1">
      <c r="A104" s="15" t="inlineStr">
        <is>
          <t>SP-17</t>
        </is>
      </c>
      <c r="B104" s="16" t="inlineStr"/>
      <c r="C104" s="16" t="inlineStr"/>
      <c r="D104" s="16" t="inlineStr">
        <is>
          <t>Spleen Point 17</t>
        </is>
      </c>
      <c r="E104" s="16" t="inlineStr">
        <is>
          <t>Standard Meridian Point</t>
        </is>
      </c>
      <c r="F104" s="17" t="inlineStr">
        <is>
          <t>Regulates local meridian qi and blood, alleviates local pain and stiffness</t>
        </is>
      </c>
      <c r="G104" s="17" t="inlineStr">
        <is>
          <t>Along the course of the Spleen meridian (Point 17)</t>
        </is>
      </c>
      <c r="H104" s="13" t="inlineStr">
        <is>
          <t>Not Studied</t>
        </is>
      </c>
      <c r="I104" s="14" t="n"/>
    </row>
    <row r="105" ht="20" customHeight="1">
      <c r="A105" s="10" t="inlineStr">
        <is>
          <t>SP-18</t>
        </is>
      </c>
      <c r="B105" s="11" t="inlineStr"/>
      <c r="C105" s="11" t="inlineStr"/>
      <c r="D105" s="11" t="inlineStr">
        <is>
          <t>Spleen Point 18</t>
        </is>
      </c>
      <c r="E105" s="11" t="inlineStr">
        <is>
          <t>Standard Meridian Point</t>
        </is>
      </c>
      <c r="F105" s="12" t="inlineStr">
        <is>
          <t>Regulates local meridian qi and blood, alleviates local pain and stiffness</t>
        </is>
      </c>
      <c r="G105" s="12" t="inlineStr">
        <is>
          <t>Along the course of the Spleen meridian (Point 18)</t>
        </is>
      </c>
      <c r="H105" s="13" t="inlineStr">
        <is>
          <t>Not Studied</t>
        </is>
      </c>
      <c r="I105" s="14" t="n"/>
    </row>
    <row r="106" ht="20" customHeight="1">
      <c r="A106" s="15" t="inlineStr">
        <is>
          <t>SP-19</t>
        </is>
      </c>
      <c r="B106" s="16" t="inlineStr"/>
      <c r="C106" s="16" t="inlineStr"/>
      <c r="D106" s="16" t="inlineStr">
        <is>
          <t>Spleen Point 19</t>
        </is>
      </c>
      <c r="E106" s="16" t="inlineStr">
        <is>
          <t>Standard Meridian Point</t>
        </is>
      </c>
      <c r="F106" s="17" t="inlineStr">
        <is>
          <t>Regulates local meridian qi and blood, alleviates local pain and stiffness</t>
        </is>
      </c>
      <c r="G106" s="17" t="inlineStr">
        <is>
          <t>Along the course of the Spleen meridian (Point 19)</t>
        </is>
      </c>
      <c r="H106" s="13" t="inlineStr">
        <is>
          <t>Not Studied</t>
        </is>
      </c>
      <c r="I106" s="14" t="n"/>
    </row>
    <row r="107" ht="20" customHeight="1">
      <c r="A107" s="10" t="inlineStr">
        <is>
          <t>SP-20</t>
        </is>
      </c>
      <c r="B107" s="11" t="inlineStr"/>
      <c r="C107" s="11" t="inlineStr"/>
      <c r="D107" s="11" t="inlineStr">
        <is>
          <t>Spleen Point 20</t>
        </is>
      </c>
      <c r="E107" s="11" t="inlineStr">
        <is>
          <t>Standard Meridian Point</t>
        </is>
      </c>
      <c r="F107" s="12" t="inlineStr">
        <is>
          <t>Regulates local meridian qi and blood, alleviates local pain and stiffness</t>
        </is>
      </c>
      <c r="G107" s="12" t="inlineStr">
        <is>
          <t>Along the course of the Spleen meridian (Point 20)</t>
        </is>
      </c>
      <c r="H107" s="13" t="inlineStr">
        <is>
          <t>Not Studied</t>
        </is>
      </c>
      <c r="I107" s="14" t="n"/>
    </row>
    <row r="108" ht="20" customHeight="1">
      <c r="A108" s="15" t="inlineStr">
        <is>
          <t>SP-21</t>
        </is>
      </c>
      <c r="B108" s="16" t="inlineStr">
        <is>
          <t>大包</t>
        </is>
      </c>
      <c r="C108" s="16" t="inlineStr">
        <is>
          <t>Dàbāo</t>
        </is>
      </c>
      <c r="D108" s="16" t="inlineStr">
        <is>
          <t>Great Wrapping</t>
        </is>
      </c>
      <c r="E108" s="16" t="inlineStr">
        <is>
          <t>Great Luo-Connecting of Spleen</t>
        </is>
      </c>
      <c r="F108" s="17" t="inlineStr">
        <is>
          <t>Regulates qi and blood, firms sinews/joints, treats pain of whole body, weariness of limbs</t>
        </is>
      </c>
      <c r="G108" s="17" t="inlineStr">
        <is>
          <t>On mid-axillary line, in 7th intercostal space (some sources say 6th space)</t>
        </is>
      </c>
      <c r="H108" s="13" t="inlineStr">
        <is>
          <t>Not Studied</t>
        </is>
      </c>
      <c r="I108" s="14" t="n"/>
    </row>
    <row r="109" ht="22" customHeight="1">
      <c r="A109" s="9" t="inlineStr">
        <is>
          <t>HEART MERIDIAN POINTS</t>
        </is>
      </c>
    </row>
    <row r="110" ht="20" customHeight="1">
      <c r="A110" s="15" t="inlineStr">
        <is>
          <t>HT-1</t>
        </is>
      </c>
      <c r="B110" s="16" t="inlineStr"/>
      <c r="C110" s="16" t="inlineStr"/>
      <c r="D110" s="16" t="inlineStr">
        <is>
          <t>Heart Point 1</t>
        </is>
      </c>
      <c r="E110" s="16" t="inlineStr">
        <is>
          <t>Standard Meridian Point</t>
        </is>
      </c>
      <c r="F110" s="17" t="inlineStr">
        <is>
          <t>Regulates local meridian qi and blood, alleviates local pain and stiffness</t>
        </is>
      </c>
      <c r="G110" s="17" t="inlineStr">
        <is>
          <t>Along the course of the Heart meridian (Point 1)</t>
        </is>
      </c>
      <c r="H110" s="13" t="inlineStr">
        <is>
          <t>Not Studied</t>
        </is>
      </c>
      <c r="I110" s="14" t="n"/>
    </row>
    <row r="111" ht="20" customHeight="1">
      <c r="A111" s="10" t="inlineStr">
        <is>
          <t>HT-2</t>
        </is>
      </c>
      <c r="B111" s="11" t="inlineStr"/>
      <c r="C111" s="11" t="inlineStr"/>
      <c r="D111" s="11" t="inlineStr">
        <is>
          <t>Heart Point 2</t>
        </is>
      </c>
      <c r="E111" s="11" t="inlineStr">
        <is>
          <t>Standard Meridian Point</t>
        </is>
      </c>
      <c r="F111" s="12" t="inlineStr">
        <is>
          <t>Regulates local meridian qi and blood, alleviates local pain and stiffness</t>
        </is>
      </c>
      <c r="G111" s="12" t="inlineStr">
        <is>
          <t>Along the course of the Heart meridian (Point 2)</t>
        </is>
      </c>
      <c r="H111" s="13" t="inlineStr">
        <is>
          <t>Not Studied</t>
        </is>
      </c>
      <c r="I111" s="14" t="n"/>
    </row>
    <row r="112" ht="20" customHeight="1">
      <c r="A112" s="15" t="inlineStr">
        <is>
          <t>HT-3</t>
        </is>
      </c>
      <c r="B112" s="16" t="inlineStr"/>
      <c r="C112" s="16" t="inlineStr"/>
      <c r="D112" s="16" t="inlineStr">
        <is>
          <t>Heart Point 3</t>
        </is>
      </c>
      <c r="E112" s="16" t="inlineStr">
        <is>
          <t>Standard Meridian Point</t>
        </is>
      </c>
      <c r="F112" s="17" t="inlineStr">
        <is>
          <t>Regulates local meridian qi and blood, alleviates local pain and stiffness</t>
        </is>
      </c>
      <c r="G112" s="17" t="inlineStr">
        <is>
          <t>Along the course of the Heart meridian (Point 3)</t>
        </is>
      </c>
      <c r="H112" s="13" t="inlineStr">
        <is>
          <t>Not Studied</t>
        </is>
      </c>
      <c r="I112" s="14" t="n"/>
    </row>
    <row r="113" ht="20" customHeight="1">
      <c r="A113" s="10" t="inlineStr">
        <is>
          <t>HT-4</t>
        </is>
      </c>
      <c r="B113" s="11" t="inlineStr"/>
      <c r="C113" s="11" t="inlineStr"/>
      <c r="D113" s="11" t="inlineStr">
        <is>
          <t>Heart Point 4</t>
        </is>
      </c>
      <c r="E113" s="11" t="inlineStr">
        <is>
          <t>Standard Meridian Point</t>
        </is>
      </c>
      <c r="F113" s="12" t="inlineStr">
        <is>
          <t>Regulates local meridian qi and blood, alleviates local pain and stiffness</t>
        </is>
      </c>
      <c r="G113" s="12" t="inlineStr">
        <is>
          <t>Along the course of the Heart meridian (Point 4)</t>
        </is>
      </c>
      <c r="H113" s="13" t="inlineStr">
        <is>
          <t>Not Studied</t>
        </is>
      </c>
      <c r="I113" s="14" t="n"/>
    </row>
    <row r="114" ht="20" customHeight="1">
      <c r="A114" s="15" t="inlineStr">
        <is>
          <t>HT-5</t>
        </is>
      </c>
      <c r="B114" s="16" t="inlineStr"/>
      <c r="C114" s="16" t="inlineStr"/>
      <c r="D114" s="16" t="inlineStr">
        <is>
          <t>Heart Point 5</t>
        </is>
      </c>
      <c r="E114" s="16" t="inlineStr">
        <is>
          <t>Standard Meridian Point</t>
        </is>
      </c>
      <c r="F114" s="17" t="inlineStr">
        <is>
          <t>Regulates local meridian qi and blood, alleviates local pain and stiffness</t>
        </is>
      </c>
      <c r="G114" s="17" t="inlineStr">
        <is>
          <t>Along the course of the Heart meridian (Point 5)</t>
        </is>
      </c>
      <c r="H114" s="13" t="inlineStr">
        <is>
          <t>Not Studied</t>
        </is>
      </c>
      <c r="I114" s="14" t="n"/>
    </row>
    <row r="115" ht="20" customHeight="1">
      <c r="A115" s="10" t="inlineStr">
        <is>
          <t>HT-6</t>
        </is>
      </c>
      <c r="B115" s="11" t="inlineStr"/>
      <c r="C115" s="11" t="inlineStr"/>
      <c r="D115" s="11" t="inlineStr">
        <is>
          <t>Heart Point 6</t>
        </is>
      </c>
      <c r="E115" s="11" t="inlineStr">
        <is>
          <t>Standard Meridian Point</t>
        </is>
      </c>
      <c r="F115" s="12" t="inlineStr">
        <is>
          <t>Regulates local meridian qi and blood, alleviates local pain and stiffness</t>
        </is>
      </c>
      <c r="G115" s="12" t="inlineStr">
        <is>
          <t>Along the course of the Heart meridian (Point 6)</t>
        </is>
      </c>
      <c r="H115" s="13" t="inlineStr">
        <is>
          <t>Not Studied</t>
        </is>
      </c>
      <c r="I115" s="14" t="n"/>
    </row>
    <row r="116" ht="20" customHeight="1">
      <c r="A116" s="15" t="inlineStr">
        <is>
          <t>HT-7</t>
        </is>
      </c>
      <c r="B116" s="16" t="inlineStr">
        <is>
          <t>神門</t>
        </is>
      </c>
      <c r="C116" s="16" t="inlineStr">
        <is>
          <t>Shénmén</t>
        </is>
      </c>
      <c r="D116" s="16" t="inlineStr">
        <is>
          <t>Spirit Gate</t>
        </is>
      </c>
      <c r="E116" s="16" t="inlineStr">
        <is>
          <t>Shu-Stream, Yuan-Source, Earth Point</t>
        </is>
      </c>
      <c r="F116" s="17" t="inlineStr">
        <is>
          <t>Foremost point to calm the spirit, nourish Heart blood/yin, treat insomnia, anxiety, palpitations</t>
        </is>
      </c>
      <c r="G116" s="17" t="inlineStr">
        <is>
          <t>At wrist joint, on radial side of flexor carpi ulnaris, in depression proximal to pisiform bone</t>
        </is>
      </c>
      <c r="H116" s="13" t="inlineStr">
        <is>
          <t>Not Studied</t>
        </is>
      </c>
      <c r="I116" s="14" t="n"/>
    </row>
    <row r="117" ht="20" customHeight="1">
      <c r="A117" s="10" t="inlineStr">
        <is>
          <t>HT-8</t>
        </is>
      </c>
      <c r="B117" s="11" t="inlineStr">
        <is>
          <t>少府</t>
        </is>
      </c>
      <c r="C117" s="11" t="inlineStr">
        <is>
          <t>Shàofǔ</t>
        </is>
      </c>
      <c r="D117" s="11" t="inlineStr">
        <is>
          <t>Lesser Palace</t>
        </is>
      </c>
      <c r="E117" s="11" t="inlineStr">
        <is>
          <t>Ying-Spring &amp; Fire Point</t>
        </is>
      </c>
      <c r="F117" s="12" t="inlineStr">
        <is>
          <t>Clears Heart fire, cools Small Intestine, treats itching of genitals, dysuria, calms spirit</t>
        </is>
      </c>
      <c r="G117" s="12" t="inlineStr">
        <is>
          <t>On palm of hand, between 4th &amp; 5th metacarpal bones, where tip of little finger lands when making fist</t>
        </is>
      </c>
      <c r="H117" s="13" t="inlineStr">
        <is>
          <t>Not Studied</t>
        </is>
      </c>
      <c r="I117" s="14" t="n"/>
    </row>
    <row r="118" ht="20" customHeight="1">
      <c r="A118" s="15" t="inlineStr">
        <is>
          <t>HT-9</t>
        </is>
      </c>
      <c r="B118" s="16" t="inlineStr"/>
      <c r="C118" s="16" t="inlineStr"/>
      <c r="D118" s="16" t="inlineStr">
        <is>
          <t>Heart Point 9</t>
        </is>
      </c>
      <c r="E118" s="16" t="inlineStr">
        <is>
          <t>Standard Meridian Point</t>
        </is>
      </c>
      <c r="F118" s="17" t="inlineStr">
        <is>
          <t>Regulates local meridian qi and blood, alleviates local pain and stiffness</t>
        </is>
      </c>
      <c r="G118" s="17" t="inlineStr">
        <is>
          <t>Along the course of the Heart meridian (Point 9)</t>
        </is>
      </c>
      <c r="H118" s="13" t="inlineStr">
        <is>
          <t>Not Studied</t>
        </is>
      </c>
      <c r="I118" s="14" t="n"/>
    </row>
    <row r="119" ht="22" customHeight="1">
      <c r="A119" s="9" t="inlineStr">
        <is>
          <t>SMALL INTESTINE MERIDIAN POINTS</t>
        </is>
      </c>
    </row>
    <row r="120" ht="20" customHeight="1">
      <c r="A120" s="15" t="inlineStr">
        <is>
          <t>SI-1</t>
        </is>
      </c>
      <c r="B120" s="16" t="inlineStr"/>
      <c r="C120" s="16" t="inlineStr"/>
      <c r="D120" s="16" t="inlineStr">
        <is>
          <t>Small Intestine Point 1</t>
        </is>
      </c>
      <c r="E120" s="16" t="inlineStr">
        <is>
          <t>Standard Meridian Point</t>
        </is>
      </c>
      <c r="F120" s="17" t="inlineStr">
        <is>
          <t>Regulates local meridian qi and blood, alleviates local pain and stiffness</t>
        </is>
      </c>
      <c r="G120" s="17" t="inlineStr">
        <is>
          <t>Along the course of the Small Intestine meridian (Point 1)</t>
        </is>
      </c>
      <c r="H120" s="13" t="inlineStr">
        <is>
          <t>Not Studied</t>
        </is>
      </c>
      <c r="I120" s="14" t="n"/>
    </row>
    <row r="121" ht="20" customHeight="1">
      <c r="A121" s="10" t="inlineStr">
        <is>
          <t>SI-2</t>
        </is>
      </c>
      <c r="B121" s="11" t="inlineStr"/>
      <c r="C121" s="11" t="inlineStr"/>
      <c r="D121" s="11" t="inlineStr">
        <is>
          <t>Small Intestine Point 2</t>
        </is>
      </c>
      <c r="E121" s="11" t="inlineStr">
        <is>
          <t>Standard Meridian Point</t>
        </is>
      </c>
      <c r="F121" s="12" t="inlineStr">
        <is>
          <t>Regulates local meridian qi and blood, alleviates local pain and stiffness</t>
        </is>
      </c>
      <c r="G121" s="12" t="inlineStr">
        <is>
          <t>Along the course of the Small Intestine meridian (Point 2)</t>
        </is>
      </c>
      <c r="H121" s="13" t="inlineStr">
        <is>
          <t>Not Studied</t>
        </is>
      </c>
      <c r="I121" s="14" t="n"/>
    </row>
    <row r="122" ht="20" customHeight="1">
      <c r="A122" s="15" t="inlineStr">
        <is>
          <t>SI-3</t>
        </is>
      </c>
      <c r="B122" s="16" t="inlineStr">
        <is>
          <t>後谿</t>
        </is>
      </c>
      <c r="C122" s="16" t="inlineStr">
        <is>
          <t>Hòuxī</t>
        </is>
      </c>
      <c r="D122" s="16" t="inlineStr">
        <is>
          <t>Back Stream</t>
        </is>
      </c>
      <c r="E122" s="16" t="inlineStr">
        <is>
          <t>Shu-Stream &amp; Wood, Confluent of GV, Heavenly Star</t>
        </is>
      </c>
      <c r="F122" s="17" t="inlineStr">
        <is>
          <t>Essential distal point for neck stiffness, spine pain, occipital headache, opens Governing Vessel</t>
        </is>
      </c>
      <c r="G122" s="17" t="inlineStr">
        <is>
          <t>On ulnar border of hand, in substantial depression proximal to head of 5th metacarpal</t>
        </is>
      </c>
      <c r="H122" s="13" t="inlineStr">
        <is>
          <t>Not Studied</t>
        </is>
      </c>
      <c r="I122" s="14" t="n"/>
    </row>
    <row r="123" ht="20" customHeight="1">
      <c r="A123" s="10" t="inlineStr">
        <is>
          <t>SI-4</t>
        </is>
      </c>
      <c r="B123" s="11" t="inlineStr"/>
      <c r="C123" s="11" t="inlineStr"/>
      <c r="D123" s="11" t="inlineStr">
        <is>
          <t>Small Intestine Point 4</t>
        </is>
      </c>
      <c r="E123" s="11" t="inlineStr">
        <is>
          <t>Standard Meridian Point</t>
        </is>
      </c>
      <c r="F123" s="12" t="inlineStr">
        <is>
          <t>Regulates local meridian qi and blood, alleviates local pain and stiffness</t>
        </is>
      </c>
      <c r="G123" s="12" t="inlineStr">
        <is>
          <t>Along the course of the Small Intestine meridian (Point 4)</t>
        </is>
      </c>
      <c r="H123" s="13" t="inlineStr">
        <is>
          <t>Not Studied</t>
        </is>
      </c>
      <c r="I123" s="14" t="n"/>
    </row>
    <row r="124" ht="20" customHeight="1">
      <c r="A124" s="15" t="inlineStr">
        <is>
          <t>SI-5</t>
        </is>
      </c>
      <c r="B124" s="16" t="inlineStr"/>
      <c r="C124" s="16" t="inlineStr"/>
      <c r="D124" s="16" t="inlineStr">
        <is>
          <t>Small Intestine Point 5</t>
        </is>
      </c>
      <c r="E124" s="16" t="inlineStr">
        <is>
          <t>Standard Meridian Point</t>
        </is>
      </c>
      <c r="F124" s="17" t="inlineStr">
        <is>
          <t>Regulates local meridian qi and blood, alleviates local pain and stiffness</t>
        </is>
      </c>
      <c r="G124" s="17" t="inlineStr">
        <is>
          <t>Along the course of the Small Intestine meridian (Point 5)</t>
        </is>
      </c>
      <c r="H124" s="13" t="inlineStr">
        <is>
          <t>Not Studied</t>
        </is>
      </c>
      <c r="I124" s="14" t="n"/>
    </row>
    <row r="125" ht="20" customHeight="1">
      <c r="A125" s="10" t="inlineStr">
        <is>
          <t>SI-6</t>
        </is>
      </c>
      <c r="B125" s="11" t="inlineStr">
        <is>
          <t>養老</t>
        </is>
      </c>
      <c r="C125" s="11" t="inlineStr">
        <is>
          <t>Yǎnglǎo</t>
        </is>
      </c>
      <c r="D125" s="11" t="inlineStr">
        <is>
          <t>Support the Aged</t>
        </is>
      </c>
      <c r="E125" s="11" t="inlineStr">
        <is>
          <t>Xi-Cleft Point</t>
        </is>
      </c>
      <c r="F125" s="12" t="inlineStr">
        <is>
          <t>Benefits shoulder/arm pain (feels broken/dislocated), treats acute lumbar sprain, benefits eyes</t>
        </is>
      </c>
      <c r="G125" s="12" t="inlineStr">
        <is>
          <t>With palm on chest, on dorsal aspect of head of ulna, in cleft radial to styloid process</t>
        </is>
      </c>
      <c r="H125" s="13" t="inlineStr">
        <is>
          <t>Not Studied</t>
        </is>
      </c>
      <c r="I125" s="14" t="n"/>
    </row>
    <row r="126" ht="20" customHeight="1">
      <c r="A126" s="15" t="inlineStr">
        <is>
          <t>SI-7</t>
        </is>
      </c>
      <c r="B126" s="16" t="inlineStr"/>
      <c r="C126" s="16" t="inlineStr"/>
      <c r="D126" s="16" t="inlineStr">
        <is>
          <t>Small Intestine Point 7</t>
        </is>
      </c>
      <c r="E126" s="16" t="inlineStr">
        <is>
          <t>Standard Meridian Point</t>
        </is>
      </c>
      <c r="F126" s="17" t="inlineStr">
        <is>
          <t>Regulates local meridian qi and blood, alleviates local pain and stiffness</t>
        </is>
      </c>
      <c r="G126" s="17" t="inlineStr">
        <is>
          <t>Along the course of the Small Intestine meridian (Point 7)</t>
        </is>
      </c>
      <c r="H126" s="13" t="inlineStr">
        <is>
          <t>Not Studied</t>
        </is>
      </c>
      <c r="I126" s="14" t="n"/>
    </row>
    <row r="127" ht="20" customHeight="1">
      <c r="A127" s="10" t="inlineStr">
        <is>
          <t>SI-8</t>
        </is>
      </c>
      <c r="B127" s="11" t="inlineStr"/>
      <c r="C127" s="11" t="inlineStr"/>
      <c r="D127" s="11" t="inlineStr">
        <is>
          <t>Small Intestine Point 8</t>
        </is>
      </c>
      <c r="E127" s="11" t="inlineStr">
        <is>
          <t>Standard Meridian Point</t>
        </is>
      </c>
      <c r="F127" s="12" t="inlineStr">
        <is>
          <t>Regulates local meridian qi and blood, alleviates local pain and stiffness</t>
        </is>
      </c>
      <c r="G127" s="12" t="inlineStr">
        <is>
          <t>Along the course of the Small Intestine meridian (Point 8)</t>
        </is>
      </c>
      <c r="H127" s="13" t="inlineStr">
        <is>
          <t>Not Studied</t>
        </is>
      </c>
      <c r="I127" s="14" t="n"/>
    </row>
    <row r="128" ht="20" customHeight="1">
      <c r="A128" s="15" t="inlineStr">
        <is>
          <t>SI-9</t>
        </is>
      </c>
      <c r="B128" s="16" t="inlineStr"/>
      <c r="C128" s="16" t="inlineStr"/>
      <c r="D128" s="16" t="inlineStr">
        <is>
          <t>Small Intestine Point 9</t>
        </is>
      </c>
      <c r="E128" s="16" t="inlineStr">
        <is>
          <t>Standard Meridian Point</t>
        </is>
      </c>
      <c r="F128" s="17" t="inlineStr">
        <is>
          <t>Regulates local meridian qi and blood, alleviates local pain and stiffness</t>
        </is>
      </c>
      <c r="G128" s="17" t="inlineStr">
        <is>
          <t>Along the course of the Small Intestine meridian (Point 9)</t>
        </is>
      </c>
      <c r="H128" s="13" t="inlineStr">
        <is>
          <t>Not Studied</t>
        </is>
      </c>
      <c r="I128" s="14" t="n"/>
    </row>
    <row r="129" ht="20" customHeight="1">
      <c r="A129" s="10" t="inlineStr">
        <is>
          <t>SI-10</t>
        </is>
      </c>
      <c r="B129" s="11" t="inlineStr"/>
      <c r="C129" s="11" t="inlineStr"/>
      <c r="D129" s="11" t="inlineStr">
        <is>
          <t>Small Intestine Point 10</t>
        </is>
      </c>
      <c r="E129" s="11" t="inlineStr">
        <is>
          <t>Standard Meridian Point</t>
        </is>
      </c>
      <c r="F129" s="12" t="inlineStr">
        <is>
          <t>Regulates local meridian qi and blood, alleviates local pain and stiffness</t>
        </is>
      </c>
      <c r="G129" s="12" t="inlineStr">
        <is>
          <t>Along the course of the Small Intestine meridian (Point 10)</t>
        </is>
      </c>
      <c r="H129" s="13" t="inlineStr">
        <is>
          <t>Not Studied</t>
        </is>
      </c>
      <c r="I129" s="14" t="n"/>
    </row>
    <row r="130" ht="20" customHeight="1">
      <c r="A130" s="15" t="inlineStr">
        <is>
          <t>SI-11</t>
        </is>
      </c>
      <c r="B130" s="16" t="inlineStr"/>
      <c r="C130" s="16" t="inlineStr"/>
      <c r="D130" s="16" t="inlineStr">
        <is>
          <t>Small Intestine Point 11</t>
        </is>
      </c>
      <c r="E130" s="16" t="inlineStr">
        <is>
          <t>Standard Meridian Point</t>
        </is>
      </c>
      <c r="F130" s="17" t="inlineStr">
        <is>
          <t>Regulates local meridian qi and blood, alleviates local pain and stiffness</t>
        </is>
      </c>
      <c r="G130" s="17" t="inlineStr">
        <is>
          <t>Along the course of the Small Intestine meridian (Point 11)</t>
        </is>
      </c>
      <c r="H130" s="13" t="inlineStr">
        <is>
          <t>Not Studied</t>
        </is>
      </c>
      <c r="I130" s="14" t="n"/>
    </row>
    <row r="131" ht="20" customHeight="1">
      <c r="A131" s="10" t="inlineStr">
        <is>
          <t>SI-12</t>
        </is>
      </c>
      <c r="B131" s="11" t="inlineStr"/>
      <c r="C131" s="11" t="inlineStr"/>
      <c r="D131" s="11" t="inlineStr">
        <is>
          <t>Small Intestine Point 12</t>
        </is>
      </c>
      <c r="E131" s="11" t="inlineStr">
        <is>
          <t>Standard Meridian Point</t>
        </is>
      </c>
      <c r="F131" s="12" t="inlineStr">
        <is>
          <t>Regulates local meridian qi and blood, alleviates local pain and stiffness</t>
        </is>
      </c>
      <c r="G131" s="12" t="inlineStr">
        <is>
          <t>Along the course of the Small Intestine meridian (Point 12)</t>
        </is>
      </c>
      <c r="H131" s="13" t="inlineStr">
        <is>
          <t>Not Studied</t>
        </is>
      </c>
      <c r="I131" s="14" t="n"/>
    </row>
    <row r="132" ht="20" customHeight="1">
      <c r="A132" s="15" t="inlineStr">
        <is>
          <t>SI-13</t>
        </is>
      </c>
      <c r="B132" s="16" t="inlineStr"/>
      <c r="C132" s="16" t="inlineStr"/>
      <c r="D132" s="16" t="inlineStr">
        <is>
          <t>Small Intestine Point 13</t>
        </is>
      </c>
      <c r="E132" s="16" t="inlineStr">
        <is>
          <t>Standard Meridian Point</t>
        </is>
      </c>
      <c r="F132" s="17" t="inlineStr">
        <is>
          <t>Regulates local meridian qi and blood, alleviates local pain and stiffness</t>
        </is>
      </c>
      <c r="G132" s="17" t="inlineStr">
        <is>
          <t>Along the course of the Small Intestine meridian (Point 13)</t>
        </is>
      </c>
      <c r="H132" s="13" t="inlineStr">
        <is>
          <t>Not Studied</t>
        </is>
      </c>
      <c r="I132" s="14" t="n"/>
    </row>
    <row r="133" ht="20" customHeight="1">
      <c r="A133" s="10" t="inlineStr">
        <is>
          <t>SI-14</t>
        </is>
      </c>
      <c r="B133" s="11" t="inlineStr"/>
      <c r="C133" s="11" t="inlineStr"/>
      <c r="D133" s="11" t="inlineStr">
        <is>
          <t>Small Intestine Point 14</t>
        </is>
      </c>
      <c r="E133" s="11" t="inlineStr">
        <is>
          <t>Standard Meridian Point</t>
        </is>
      </c>
      <c r="F133" s="12" t="inlineStr">
        <is>
          <t>Regulates local meridian qi and blood, alleviates local pain and stiffness</t>
        </is>
      </c>
      <c r="G133" s="12" t="inlineStr">
        <is>
          <t>Along the course of the Small Intestine meridian (Point 14)</t>
        </is>
      </c>
      <c r="H133" s="13" t="inlineStr">
        <is>
          <t>Not Studied</t>
        </is>
      </c>
      <c r="I133" s="14" t="n"/>
    </row>
    <row r="134" ht="20" customHeight="1">
      <c r="A134" s="15" t="inlineStr">
        <is>
          <t>SI-15</t>
        </is>
      </c>
      <c r="B134" s="16" t="inlineStr"/>
      <c r="C134" s="16" t="inlineStr"/>
      <c r="D134" s="16" t="inlineStr">
        <is>
          <t>Small Intestine Point 15</t>
        </is>
      </c>
      <c r="E134" s="16" t="inlineStr">
        <is>
          <t>Standard Meridian Point</t>
        </is>
      </c>
      <c r="F134" s="17" t="inlineStr">
        <is>
          <t>Regulates local meridian qi and blood, alleviates local pain and stiffness</t>
        </is>
      </c>
      <c r="G134" s="17" t="inlineStr">
        <is>
          <t>Along the course of the Small Intestine meridian (Point 15)</t>
        </is>
      </c>
      <c r="H134" s="13" t="inlineStr">
        <is>
          <t>Not Studied</t>
        </is>
      </c>
      <c r="I134" s="14" t="n"/>
    </row>
    <row r="135" ht="20" customHeight="1">
      <c r="A135" s="10" t="inlineStr">
        <is>
          <t>SI-16</t>
        </is>
      </c>
      <c r="B135" s="11" t="inlineStr"/>
      <c r="C135" s="11" t="inlineStr"/>
      <c r="D135" s="11" t="inlineStr">
        <is>
          <t>Small Intestine Point 16</t>
        </is>
      </c>
      <c r="E135" s="11" t="inlineStr">
        <is>
          <t>Standard Meridian Point</t>
        </is>
      </c>
      <c r="F135" s="12" t="inlineStr">
        <is>
          <t>Regulates local meridian qi and blood, alleviates local pain and stiffness</t>
        </is>
      </c>
      <c r="G135" s="12" t="inlineStr">
        <is>
          <t>Along the course of the Small Intestine meridian (Point 16)</t>
        </is>
      </c>
      <c r="H135" s="13" t="inlineStr">
        <is>
          <t>Not Studied</t>
        </is>
      </c>
      <c r="I135" s="14" t="n"/>
    </row>
    <row r="136" ht="20" customHeight="1">
      <c r="A136" s="15" t="inlineStr">
        <is>
          <t>SI-17</t>
        </is>
      </c>
      <c r="B136" s="16" t="inlineStr"/>
      <c r="C136" s="16" t="inlineStr"/>
      <c r="D136" s="16" t="inlineStr">
        <is>
          <t>Small Intestine Point 17</t>
        </is>
      </c>
      <c r="E136" s="16" t="inlineStr">
        <is>
          <t>Standard Meridian Point</t>
        </is>
      </c>
      <c r="F136" s="17" t="inlineStr">
        <is>
          <t>Regulates local meridian qi and blood, alleviates local pain and stiffness</t>
        </is>
      </c>
      <c r="G136" s="17" t="inlineStr">
        <is>
          <t>Along the course of the Small Intestine meridian (Point 17)</t>
        </is>
      </c>
      <c r="H136" s="13" t="inlineStr">
        <is>
          <t>Not Studied</t>
        </is>
      </c>
      <c r="I136" s="14" t="n"/>
    </row>
    <row r="137" ht="20" customHeight="1">
      <c r="A137" s="10" t="inlineStr">
        <is>
          <t>SI-18</t>
        </is>
      </c>
      <c r="B137" s="11" t="inlineStr"/>
      <c r="C137" s="11" t="inlineStr"/>
      <c r="D137" s="11" t="inlineStr">
        <is>
          <t>Small Intestine Point 18</t>
        </is>
      </c>
      <c r="E137" s="11" t="inlineStr">
        <is>
          <t>Standard Meridian Point</t>
        </is>
      </c>
      <c r="F137" s="12" t="inlineStr">
        <is>
          <t>Regulates local meridian qi and blood, alleviates local pain and stiffness</t>
        </is>
      </c>
      <c r="G137" s="12" t="inlineStr">
        <is>
          <t>Along the course of the Small Intestine meridian (Point 18)</t>
        </is>
      </c>
      <c r="H137" s="13" t="inlineStr">
        <is>
          <t>Not Studied</t>
        </is>
      </c>
      <c r="I137" s="14" t="n"/>
    </row>
    <row r="138" ht="20" customHeight="1">
      <c r="A138" s="15" t="inlineStr">
        <is>
          <t>SI-19</t>
        </is>
      </c>
      <c r="B138" s="16" t="inlineStr"/>
      <c r="C138" s="16" t="inlineStr"/>
      <c r="D138" s="16" t="inlineStr">
        <is>
          <t>Small Intestine Point 19</t>
        </is>
      </c>
      <c r="E138" s="16" t="inlineStr">
        <is>
          <t>Standard Meridian Point</t>
        </is>
      </c>
      <c r="F138" s="17" t="inlineStr">
        <is>
          <t>Regulates local meridian qi and blood, alleviates local pain and stiffness</t>
        </is>
      </c>
      <c r="G138" s="17" t="inlineStr">
        <is>
          <t>Along the course of the Small Intestine meridian (Point 19)</t>
        </is>
      </c>
      <c r="H138" s="13" t="inlineStr">
        <is>
          <t>Not Studied</t>
        </is>
      </c>
      <c r="I138" s="14" t="n"/>
    </row>
    <row r="139" ht="22" customHeight="1">
      <c r="A139" s="9" t="inlineStr">
        <is>
          <t>BLADDER MERIDIAN POINTS</t>
        </is>
      </c>
    </row>
    <row r="140" ht="20" customHeight="1">
      <c r="A140" s="15" t="inlineStr">
        <is>
          <t>BL-1</t>
        </is>
      </c>
      <c r="B140" s="16" t="inlineStr"/>
      <c r="C140" s="16" t="inlineStr"/>
      <c r="D140" s="16" t="inlineStr">
        <is>
          <t>Bladder Point 1</t>
        </is>
      </c>
      <c r="E140" s="16" t="inlineStr">
        <is>
          <t>Standard Meridian Point</t>
        </is>
      </c>
      <c r="F140" s="17" t="inlineStr">
        <is>
          <t>Regulates local meridian qi and blood, alleviates local pain and stiffness</t>
        </is>
      </c>
      <c r="G140" s="17" t="inlineStr">
        <is>
          <t>Along the course of the Bladder meridian (Point 1)</t>
        </is>
      </c>
      <c r="H140" s="13" t="inlineStr">
        <is>
          <t>Not Studied</t>
        </is>
      </c>
      <c r="I140" s="14" t="n"/>
    </row>
    <row r="141" ht="20" customHeight="1">
      <c r="A141" s="10" t="inlineStr">
        <is>
          <t>BL-2</t>
        </is>
      </c>
      <c r="B141" s="11" t="inlineStr"/>
      <c r="C141" s="11" t="inlineStr"/>
      <c r="D141" s="11" t="inlineStr">
        <is>
          <t>Bladder Point 2</t>
        </is>
      </c>
      <c r="E141" s="11" t="inlineStr">
        <is>
          <t>Standard Meridian Point</t>
        </is>
      </c>
      <c r="F141" s="12" t="inlineStr">
        <is>
          <t>Regulates local meridian qi and blood, alleviates local pain and stiffness</t>
        </is>
      </c>
      <c r="G141" s="12" t="inlineStr">
        <is>
          <t>Along the course of the Bladder meridian (Point 2)</t>
        </is>
      </c>
      <c r="H141" s="13" t="inlineStr">
        <is>
          <t>Not Studied</t>
        </is>
      </c>
      <c r="I141" s="14" t="n"/>
    </row>
    <row r="142" ht="20" customHeight="1">
      <c r="A142" s="15" t="inlineStr">
        <is>
          <t>BL-3</t>
        </is>
      </c>
      <c r="B142" s="16" t="inlineStr"/>
      <c r="C142" s="16" t="inlineStr"/>
      <c r="D142" s="16" t="inlineStr">
        <is>
          <t>Bladder Point 3</t>
        </is>
      </c>
      <c r="E142" s="16" t="inlineStr">
        <is>
          <t>Standard Meridian Point</t>
        </is>
      </c>
      <c r="F142" s="17" t="inlineStr">
        <is>
          <t>Regulates local meridian qi and blood, alleviates local pain and stiffness</t>
        </is>
      </c>
      <c r="G142" s="17" t="inlineStr">
        <is>
          <t>Along the course of the Bladder meridian (Point 3)</t>
        </is>
      </c>
      <c r="H142" s="13" t="inlineStr">
        <is>
          <t>Not Studied</t>
        </is>
      </c>
      <c r="I142" s="14" t="n"/>
    </row>
    <row r="143" ht="20" customHeight="1">
      <c r="A143" s="10" t="inlineStr">
        <is>
          <t>BL-4</t>
        </is>
      </c>
      <c r="B143" s="11" t="inlineStr"/>
      <c r="C143" s="11" t="inlineStr"/>
      <c r="D143" s="11" t="inlineStr">
        <is>
          <t>Bladder Point 4</t>
        </is>
      </c>
      <c r="E143" s="11" t="inlineStr">
        <is>
          <t>Standard Meridian Point</t>
        </is>
      </c>
      <c r="F143" s="12" t="inlineStr">
        <is>
          <t>Regulates local meridian qi and blood, alleviates local pain and stiffness</t>
        </is>
      </c>
      <c r="G143" s="12" t="inlineStr">
        <is>
          <t>Along the course of the Bladder meridian (Point 4)</t>
        </is>
      </c>
      <c r="H143" s="13" t="inlineStr">
        <is>
          <t>Not Studied</t>
        </is>
      </c>
      <c r="I143" s="14" t="n"/>
    </row>
    <row r="144" ht="20" customHeight="1">
      <c r="A144" s="15" t="inlineStr">
        <is>
          <t>BL-5</t>
        </is>
      </c>
      <c r="B144" s="16" t="inlineStr"/>
      <c r="C144" s="16" t="inlineStr"/>
      <c r="D144" s="16" t="inlineStr">
        <is>
          <t>Bladder Point 5</t>
        </is>
      </c>
      <c r="E144" s="16" t="inlineStr">
        <is>
          <t>Standard Meridian Point</t>
        </is>
      </c>
      <c r="F144" s="17" t="inlineStr">
        <is>
          <t>Regulates local meridian qi and blood, alleviates local pain and stiffness</t>
        </is>
      </c>
      <c r="G144" s="17" t="inlineStr">
        <is>
          <t>Along the course of the Bladder meridian (Point 5)</t>
        </is>
      </c>
      <c r="H144" s="13" t="inlineStr">
        <is>
          <t>Not Studied</t>
        </is>
      </c>
      <c r="I144" s="14" t="n"/>
    </row>
    <row r="145" ht="20" customHeight="1">
      <c r="A145" s="10" t="inlineStr">
        <is>
          <t>BL-6</t>
        </is>
      </c>
      <c r="B145" s="11" t="inlineStr"/>
      <c r="C145" s="11" t="inlineStr"/>
      <c r="D145" s="11" t="inlineStr">
        <is>
          <t>Bladder Point 6</t>
        </is>
      </c>
      <c r="E145" s="11" t="inlineStr">
        <is>
          <t>Standard Meridian Point</t>
        </is>
      </c>
      <c r="F145" s="12" t="inlineStr">
        <is>
          <t>Regulates local meridian qi and blood, alleviates local pain and stiffness</t>
        </is>
      </c>
      <c r="G145" s="12" t="inlineStr">
        <is>
          <t>Along the course of the Bladder meridian (Point 6)</t>
        </is>
      </c>
      <c r="H145" s="13" t="inlineStr">
        <is>
          <t>Not Studied</t>
        </is>
      </c>
      <c r="I145" s="14" t="n"/>
    </row>
    <row r="146" ht="20" customHeight="1">
      <c r="A146" s="15" t="inlineStr">
        <is>
          <t>BL-7</t>
        </is>
      </c>
      <c r="B146" s="16" t="inlineStr"/>
      <c r="C146" s="16" t="inlineStr"/>
      <c r="D146" s="16" t="inlineStr">
        <is>
          <t>Bladder Point 7</t>
        </is>
      </c>
      <c r="E146" s="16" t="inlineStr">
        <is>
          <t>Standard Meridian Point</t>
        </is>
      </c>
      <c r="F146" s="17" t="inlineStr">
        <is>
          <t>Regulates local meridian qi and blood, alleviates local pain and stiffness</t>
        </is>
      </c>
      <c r="G146" s="17" t="inlineStr">
        <is>
          <t>Along the course of the Bladder meridian (Point 7)</t>
        </is>
      </c>
      <c r="H146" s="13" t="inlineStr">
        <is>
          <t>Not Studied</t>
        </is>
      </c>
      <c r="I146" s="14" t="n"/>
    </row>
    <row r="147" ht="20" customHeight="1">
      <c r="A147" s="10" t="inlineStr">
        <is>
          <t>BL-8</t>
        </is>
      </c>
      <c r="B147" s="11" t="inlineStr"/>
      <c r="C147" s="11" t="inlineStr"/>
      <c r="D147" s="11" t="inlineStr">
        <is>
          <t>Bladder Point 8</t>
        </is>
      </c>
      <c r="E147" s="11" t="inlineStr">
        <is>
          <t>Standard Meridian Point</t>
        </is>
      </c>
      <c r="F147" s="12" t="inlineStr">
        <is>
          <t>Regulates local meridian qi and blood, alleviates local pain and stiffness</t>
        </is>
      </c>
      <c r="G147" s="12" t="inlineStr">
        <is>
          <t>Along the course of the Bladder meridian (Point 8)</t>
        </is>
      </c>
      <c r="H147" s="13" t="inlineStr">
        <is>
          <t>Not Studied</t>
        </is>
      </c>
      <c r="I147" s="14" t="n"/>
    </row>
    <row r="148" ht="20" customHeight="1">
      <c r="A148" s="15" t="inlineStr">
        <is>
          <t>BL-9</t>
        </is>
      </c>
      <c r="B148" s="16" t="inlineStr"/>
      <c r="C148" s="16" t="inlineStr"/>
      <c r="D148" s="16" t="inlineStr">
        <is>
          <t>Bladder Point 9</t>
        </is>
      </c>
      <c r="E148" s="16" t="inlineStr">
        <is>
          <t>Standard Meridian Point</t>
        </is>
      </c>
      <c r="F148" s="17" t="inlineStr">
        <is>
          <t>Regulates local meridian qi and blood, alleviates local pain and stiffness</t>
        </is>
      </c>
      <c r="G148" s="17" t="inlineStr">
        <is>
          <t>Along the course of the Bladder meridian (Point 9)</t>
        </is>
      </c>
      <c r="H148" s="13" t="inlineStr">
        <is>
          <t>Not Studied</t>
        </is>
      </c>
      <c r="I148" s="14" t="n"/>
    </row>
    <row r="149" ht="20" customHeight="1">
      <c r="A149" s="10" t="inlineStr">
        <is>
          <t>BL-10</t>
        </is>
      </c>
      <c r="B149" s="11" t="inlineStr"/>
      <c r="C149" s="11" t="inlineStr"/>
      <c r="D149" s="11" t="inlineStr">
        <is>
          <t>Bladder Point 10</t>
        </is>
      </c>
      <c r="E149" s="11" t="inlineStr">
        <is>
          <t>Standard Meridian Point</t>
        </is>
      </c>
      <c r="F149" s="12" t="inlineStr">
        <is>
          <t>Regulates local meridian qi and blood, alleviates local pain and stiffness</t>
        </is>
      </c>
      <c r="G149" s="12" t="inlineStr">
        <is>
          <t>Along the course of the Bladder meridian (Point 10)</t>
        </is>
      </c>
      <c r="H149" s="13" t="inlineStr">
        <is>
          <t>Not Studied</t>
        </is>
      </c>
      <c r="I149" s="14" t="n"/>
    </row>
    <row r="150" ht="20" customHeight="1">
      <c r="A150" s="15" t="inlineStr">
        <is>
          <t>BL-11</t>
        </is>
      </c>
      <c r="B150" s="16" t="inlineStr">
        <is>
          <t>大杼</t>
        </is>
      </c>
      <c r="C150" s="16" t="inlineStr">
        <is>
          <t>Dàzhù</t>
        </is>
      </c>
      <c r="D150" s="16" t="inlineStr">
        <is>
          <t>Great Shuttle</t>
        </is>
      </c>
      <c r="E150" s="16" t="inlineStr">
        <is>
          <t>Hui-Meeting of Bones, Point of Sea of Blood</t>
        </is>
      </c>
      <c r="F150" s="17" t="inlineStr">
        <is>
          <t>Benefits bones/joints (bony painful obstruction), expels wind, regulates Lung qi, clears heat</t>
        </is>
      </c>
      <c r="G150" s="17" t="inlineStr">
        <is>
          <t>1.5 cun lateral to lower border of spinous process of 1st thoracic vertebra (T1)</t>
        </is>
      </c>
      <c r="H150" s="13" t="inlineStr">
        <is>
          <t>Not Studied</t>
        </is>
      </c>
      <c r="I150" s="14" t="n"/>
    </row>
    <row r="151" ht="20" customHeight="1">
      <c r="A151" s="10" t="inlineStr">
        <is>
          <t>BL-12</t>
        </is>
      </c>
      <c r="B151" s="11" t="inlineStr"/>
      <c r="C151" s="11" t="inlineStr"/>
      <c r="D151" s="11" t="inlineStr">
        <is>
          <t>Bladder Point 12</t>
        </is>
      </c>
      <c r="E151" s="11" t="inlineStr">
        <is>
          <t>Standard Meridian Point</t>
        </is>
      </c>
      <c r="F151" s="12" t="inlineStr">
        <is>
          <t>Regulates local meridian qi and blood, alleviates local pain and stiffness</t>
        </is>
      </c>
      <c r="G151" s="12" t="inlineStr">
        <is>
          <t>Along the course of the Bladder meridian (Point 12)</t>
        </is>
      </c>
      <c r="H151" s="13" t="inlineStr">
        <is>
          <t>Not Studied</t>
        </is>
      </c>
      <c r="I151" s="14" t="n"/>
    </row>
    <row r="152" ht="20" customHeight="1">
      <c r="A152" s="15" t="inlineStr">
        <is>
          <t>BL-13</t>
        </is>
      </c>
      <c r="B152" s="16" t="inlineStr">
        <is>
          <t>肺俞</t>
        </is>
      </c>
      <c r="C152" s="16" t="inlineStr">
        <is>
          <t>Fèishū</t>
        </is>
      </c>
      <c r="D152" s="16" t="inlineStr">
        <is>
          <t>Lung Shu</t>
        </is>
      </c>
      <c r="E152" s="16" t="inlineStr">
        <is>
          <t>Back-Shu of the Lung</t>
        </is>
      </c>
      <c r="F152" s="17" t="inlineStr">
        <is>
          <t>Tonifies Lung qi and yin, clears Lung heat, regulates Lung qi, stops coughing/wheezing</t>
        </is>
      </c>
      <c r="G152" s="17" t="inlineStr">
        <is>
          <t>1.5 cun lateral to lower border of spinous process of 3rd thoracic vertebra (T3)</t>
        </is>
      </c>
      <c r="H152" s="13" t="inlineStr">
        <is>
          <t>Not Studied</t>
        </is>
      </c>
      <c r="I152" s="14" t="n"/>
    </row>
    <row r="153" ht="20" customHeight="1">
      <c r="A153" s="10" t="inlineStr">
        <is>
          <t>BL-14</t>
        </is>
      </c>
      <c r="B153" s="11" t="inlineStr"/>
      <c r="C153" s="11" t="inlineStr"/>
      <c r="D153" s="11" t="inlineStr">
        <is>
          <t>Bladder Point 14</t>
        </is>
      </c>
      <c r="E153" s="11" t="inlineStr">
        <is>
          <t>Standard Meridian Point</t>
        </is>
      </c>
      <c r="F153" s="12" t="inlineStr">
        <is>
          <t>Regulates local meridian qi and blood, alleviates local pain and stiffness</t>
        </is>
      </c>
      <c r="G153" s="12" t="inlineStr">
        <is>
          <t>Along the course of the Bladder meridian (Point 14)</t>
        </is>
      </c>
      <c r="H153" s="13" t="inlineStr">
        <is>
          <t>Not Studied</t>
        </is>
      </c>
      <c r="I153" s="14" t="n"/>
    </row>
    <row r="154" ht="20" customHeight="1">
      <c r="A154" s="15" t="inlineStr">
        <is>
          <t>BL-15</t>
        </is>
      </c>
      <c r="B154" s="16" t="inlineStr">
        <is>
          <t>心俞</t>
        </is>
      </c>
      <c r="C154" s="16" t="inlineStr">
        <is>
          <t>Xīnshū</t>
        </is>
      </c>
      <c r="D154" s="16" t="inlineStr">
        <is>
          <t>Heart Shu</t>
        </is>
      </c>
      <c r="E154" s="16" t="inlineStr">
        <is>
          <t>Back-Shu of the Heart</t>
        </is>
      </c>
      <c r="F154" s="17" t="inlineStr">
        <is>
          <t>Tonifies Heart blood/yin/qi, clears Heart fire, calms spirit, treats severe insomnia &amp; anxiety</t>
        </is>
      </c>
      <c r="G154" s="17" t="inlineStr">
        <is>
          <t>1.5 cun lateral to lower border of spinous process of 5th thoracic vertebra (T5)</t>
        </is>
      </c>
      <c r="H154" s="13" t="inlineStr">
        <is>
          <t>Not Studied</t>
        </is>
      </c>
      <c r="I154" s="14" t="n"/>
    </row>
    <row r="155" ht="20" customHeight="1">
      <c r="A155" s="10" t="inlineStr">
        <is>
          <t>BL-16</t>
        </is>
      </c>
      <c r="B155" s="11" t="inlineStr"/>
      <c r="C155" s="11" t="inlineStr"/>
      <c r="D155" s="11" t="inlineStr">
        <is>
          <t>Bladder Point 16</t>
        </is>
      </c>
      <c r="E155" s="11" t="inlineStr">
        <is>
          <t>Standard Meridian Point</t>
        </is>
      </c>
      <c r="F155" s="12" t="inlineStr">
        <is>
          <t>Regulates local meridian qi and blood, alleviates local pain and stiffness</t>
        </is>
      </c>
      <c r="G155" s="12" t="inlineStr">
        <is>
          <t>Along the course of the Bladder meridian (Point 16)</t>
        </is>
      </c>
      <c r="H155" s="13" t="inlineStr">
        <is>
          <t>Not Studied</t>
        </is>
      </c>
      <c r="I155" s="14" t="n"/>
    </row>
    <row r="156" ht="20" customHeight="1">
      <c r="A156" s="15" t="inlineStr">
        <is>
          <t>BL-17</t>
        </is>
      </c>
      <c r="B156" s="16" t="inlineStr">
        <is>
          <t>膈俞</t>
        </is>
      </c>
      <c r="C156" s="16" t="inlineStr">
        <is>
          <t>Géshū</t>
        </is>
      </c>
      <c r="D156" s="16" t="inlineStr">
        <is>
          <t>Diaphragm Shu</t>
        </is>
      </c>
      <c r="E156" s="16" t="inlineStr">
        <is>
          <t>Hui-Meeting of Blood</t>
        </is>
      </c>
      <c r="F156" s="17" t="inlineStr">
        <is>
          <t>Single most important point for blood stasis, blood heat, and blood deficiency, stops sweating</t>
        </is>
      </c>
      <c r="G156" s="17" t="inlineStr">
        <is>
          <t>1.5 cun lateral to lower border of spinous process of 7th thoracic vertebra (T7)</t>
        </is>
      </c>
      <c r="H156" s="13" t="inlineStr">
        <is>
          <t>Not Studied</t>
        </is>
      </c>
      <c r="I156" s="14" t="n"/>
    </row>
    <row r="157" ht="20" customHeight="1">
      <c r="A157" s="10" t="inlineStr">
        <is>
          <t>BL-18</t>
        </is>
      </c>
      <c r="B157" s="11" t="inlineStr">
        <is>
          <t>肝俞</t>
        </is>
      </c>
      <c r="C157" s="11" t="inlineStr">
        <is>
          <t>Gānshū</t>
        </is>
      </c>
      <c r="D157" s="11" t="inlineStr">
        <is>
          <t>Liver Shu</t>
        </is>
      </c>
      <c r="E157" s="11" t="inlineStr">
        <is>
          <t>Back-Shu of the Liver</t>
        </is>
      </c>
      <c r="F157" s="12" t="inlineStr">
        <is>
          <t>Spreads Liver qi, nourishes Liver blood/yin, cools Liver fire, pacifies wind, benefits eyes</t>
        </is>
      </c>
      <c r="G157" s="12" t="inlineStr">
        <is>
          <t>1.5 cun lateral to lower border of spinous process of 9th thoracic vertebra (T9)</t>
        </is>
      </c>
      <c r="H157" s="13" t="inlineStr">
        <is>
          <t>Not Studied</t>
        </is>
      </c>
      <c r="I157" s="14" t="n"/>
    </row>
    <row r="158" ht="20" customHeight="1">
      <c r="A158" s="15" t="inlineStr">
        <is>
          <t>BL-19</t>
        </is>
      </c>
      <c r="B158" s="16" t="inlineStr"/>
      <c r="C158" s="16" t="inlineStr"/>
      <c r="D158" s="16" t="inlineStr">
        <is>
          <t>Bladder Point 19</t>
        </is>
      </c>
      <c r="E158" s="16" t="inlineStr">
        <is>
          <t>Standard Meridian Point</t>
        </is>
      </c>
      <c r="F158" s="17" t="inlineStr">
        <is>
          <t>Regulates local meridian qi and blood, alleviates local pain and stiffness</t>
        </is>
      </c>
      <c r="G158" s="17" t="inlineStr">
        <is>
          <t>Along the course of the Bladder meridian (Point 19)</t>
        </is>
      </c>
      <c r="H158" s="13" t="inlineStr">
        <is>
          <t>Not Studied</t>
        </is>
      </c>
      <c r="I158" s="14" t="n"/>
    </row>
    <row r="159" ht="20" customHeight="1">
      <c r="A159" s="10" t="inlineStr">
        <is>
          <t>BL-20</t>
        </is>
      </c>
      <c r="B159" s="11" t="inlineStr">
        <is>
          <t>脾俞</t>
        </is>
      </c>
      <c r="C159" s="11" t="inlineStr">
        <is>
          <t>Píshū</t>
        </is>
      </c>
      <c r="D159" s="11" t="inlineStr">
        <is>
          <t>Spleen Shu</t>
        </is>
      </c>
      <c r="E159" s="11" t="inlineStr">
        <is>
          <t>Back-Shu of the Spleen</t>
        </is>
      </c>
      <c r="F159" s="12" t="inlineStr">
        <is>
          <t>Tonifies Spleen qi/yang, resolves dampness, raises Spleen qi, controls blood, regulates middle jiao</t>
        </is>
      </c>
      <c r="G159" s="12" t="inlineStr">
        <is>
          <t>1.5 cun lateral to lower border of spinous process of 11th thoracic vertebra (T11)</t>
        </is>
      </c>
      <c r="H159" s="13" t="inlineStr">
        <is>
          <t>Not Studied</t>
        </is>
      </c>
      <c r="I159" s="14" t="n"/>
    </row>
    <row r="160" ht="20" customHeight="1">
      <c r="A160" s="15" t="inlineStr">
        <is>
          <t>BL-21</t>
        </is>
      </c>
      <c r="B160" s="16" t="inlineStr"/>
      <c r="C160" s="16" t="inlineStr"/>
      <c r="D160" s="16" t="inlineStr">
        <is>
          <t>Bladder Point 21</t>
        </is>
      </c>
      <c r="E160" s="16" t="inlineStr">
        <is>
          <t>Standard Meridian Point</t>
        </is>
      </c>
      <c r="F160" s="17" t="inlineStr">
        <is>
          <t>Regulates local meridian qi and blood, alleviates local pain and stiffness</t>
        </is>
      </c>
      <c r="G160" s="17" t="inlineStr">
        <is>
          <t>Along the course of the Bladder meridian (Point 21)</t>
        </is>
      </c>
      <c r="H160" s="13" t="inlineStr">
        <is>
          <t>Not Studied</t>
        </is>
      </c>
      <c r="I160" s="14" t="n"/>
    </row>
    <row r="161" ht="20" customHeight="1">
      <c r="A161" s="10" t="inlineStr">
        <is>
          <t>BL-22</t>
        </is>
      </c>
      <c r="B161" s="11" t="inlineStr"/>
      <c r="C161" s="11" t="inlineStr"/>
      <c r="D161" s="11" t="inlineStr">
        <is>
          <t>Bladder Point 22</t>
        </is>
      </c>
      <c r="E161" s="11" t="inlineStr">
        <is>
          <t>Standard Meridian Point</t>
        </is>
      </c>
      <c r="F161" s="12" t="inlineStr">
        <is>
          <t>Regulates local meridian qi and blood, alleviates local pain and stiffness</t>
        </is>
      </c>
      <c r="G161" s="12" t="inlineStr">
        <is>
          <t>Along the course of the Bladder meridian (Point 22)</t>
        </is>
      </c>
      <c r="H161" s="13" t="inlineStr">
        <is>
          <t>Not Studied</t>
        </is>
      </c>
      <c r="I161" s="14" t="n"/>
    </row>
    <row r="162" ht="20" customHeight="1">
      <c r="A162" s="15" t="inlineStr">
        <is>
          <t>BL-23</t>
        </is>
      </c>
      <c r="B162" s="16" t="inlineStr">
        <is>
          <t>腎俞</t>
        </is>
      </c>
      <c r="C162" s="16" t="inlineStr">
        <is>
          <t>Shènshū</t>
        </is>
      </c>
      <c r="D162" s="16" t="inlineStr">
        <is>
          <t>Kidney Shu</t>
        </is>
      </c>
      <c r="E162" s="16" t="inlineStr">
        <is>
          <t>Back-Shu of the Kidneys</t>
        </is>
      </c>
      <c r="F162" s="17" t="inlineStr">
        <is>
          <t>Tonifies Kidney yin and yang, benefits essence, firms Kidney qi, strengthens lower back &amp; ears</t>
        </is>
      </c>
      <c r="G162" s="17" t="inlineStr">
        <is>
          <t>1.5 cun lateral to lower border of spinous process of 2nd lumbar vertebra (L2)</t>
        </is>
      </c>
      <c r="H162" s="13" t="inlineStr">
        <is>
          <t>Not Studied</t>
        </is>
      </c>
      <c r="I162" s="14" t="n"/>
    </row>
    <row r="163" ht="20" customHeight="1">
      <c r="A163" s="10" t="inlineStr">
        <is>
          <t>BL-24</t>
        </is>
      </c>
      <c r="B163" s="11" t="inlineStr"/>
      <c r="C163" s="11" t="inlineStr"/>
      <c r="D163" s="11" t="inlineStr">
        <is>
          <t>Bladder Point 24</t>
        </is>
      </c>
      <c r="E163" s="11" t="inlineStr">
        <is>
          <t>Standard Meridian Point</t>
        </is>
      </c>
      <c r="F163" s="12" t="inlineStr">
        <is>
          <t>Regulates local meridian qi and blood, alleviates local pain and stiffness</t>
        </is>
      </c>
      <c r="G163" s="12" t="inlineStr">
        <is>
          <t>Along the course of the Bladder meridian (Point 24)</t>
        </is>
      </c>
      <c r="H163" s="13" t="inlineStr">
        <is>
          <t>Not Studied</t>
        </is>
      </c>
      <c r="I163" s="14" t="n"/>
    </row>
    <row r="164" ht="20" customHeight="1">
      <c r="A164" s="15" t="inlineStr">
        <is>
          <t>BL-25</t>
        </is>
      </c>
      <c r="B164" s="16" t="inlineStr">
        <is>
          <t>大腸俞</t>
        </is>
      </c>
      <c r="C164" s="16" t="inlineStr">
        <is>
          <t>Dàchángshū</t>
        </is>
      </c>
      <c r="D164" s="16" t="inlineStr">
        <is>
          <t>Large Intestine Shu</t>
        </is>
      </c>
      <c r="E164" s="16" t="inlineStr">
        <is>
          <t>Back-Shu of the Large Intestine</t>
        </is>
      </c>
      <c r="F164" s="17" t="inlineStr">
        <is>
          <t>Regulates intestines, stops diarrhoea/constipation, treats lumbar pain and sciatica</t>
        </is>
      </c>
      <c r="G164" s="17" t="inlineStr">
        <is>
          <t>1.5 cun lateral to lower border of spinous process of 4th lumbar vertebra (L4)</t>
        </is>
      </c>
      <c r="H164" s="13" t="inlineStr">
        <is>
          <t>Not Studied</t>
        </is>
      </c>
      <c r="I164" s="14" t="n"/>
    </row>
    <row r="165" ht="20" customHeight="1">
      <c r="A165" s="10" t="inlineStr">
        <is>
          <t>BL-26</t>
        </is>
      </c>
      <c r="B165" s="11" t="inlineStr"/>
      <c r="C165" s="11" t="inlineStr"/>
      <c r="D165" s="11" t="inlineStr">
        <is>
          <t>Bladder Point 26</t>
        </is>
      </c>
      <c r="E165" s="11" t="inlineStr">
        <is>
          <t>Standard Meridian Point</t>
        </is>
      </c>
      <c r="F165" s="12" t="inlineStr">
        <is>
          <t>Regulates local meridian qi and blood, alleviates local pain and stiffness</t>
        </is>
      </c>
      <c r="G165" s="12" t="inlineStr">
        <is>
          <t>Along the course of the Bladder meridian (Point 26)</t>
        </is>
      </c>
      <c r="H165" s="13" t="inlineStr">
        <is>
          <t>Not Studied</t>
        </is>
      </c>
      <c r="I165" s="14" t="n"/>
    </row>
    <row r="166" ht="20" customHeight="1">
      <c r="A166" s="15" t="inlineStr">
        <is>
          <t>BL-27</t>
        </is>
      </c>
      <c r="B166" s="16" t="inlineStr"/>
      <c r="C166" s="16" t="inlineStr"/>
      <c r="D166" s="16" t="inlineStr">
        <is>
          <t>Bladder Point 27</t>
        </is>
      </c>
      <c r="E166" s="16" t="inlineStr">
        <is>
          <t>Standard Meridian Point</t>
        </is>
      </c>
      <c r="F166" s="17" t="inlineStr">
        <is>
          <t>Regulates local meridian qi and blood, alleviates local pain and stiffness</t>
        </is>
      </c>
      <c r="G166" s="17" t="inlineStr">
        <is>
          <t>Along the course of the Bladder meridian (Point 27)</t>
        </is>
      </c>
      <c r="H166" s="13" t="inlineStr">
        <is>
          <t>Not Studied</t>
        </is>
      </c>
      <c r="I166" s="14" t="n"/>
    </row>
    <row r="167" ht="20" customHeight="1">
      <c r="A167" s="10" t="inlineStr">
        <is>
          <t>BL-28</t>
        </is>
      </c>
      <c r="B167" s="11" t="inlineStr"/>
      <c r="C167" s="11" t="inlineStr"/>
      <c r="D167" s="11" t="inlineStr">
        <is>
          <t>Bladder Point 28</t>
        </is>
      </c>
      <c r="E167" s="11" t="inlineStr">
        <is>
          <t>Standard Meridian Point</t>
        </is>
      </c>
      <c r="F167" s="12" t="inlineStr">
        <is>
          <t>Regulates local meridian qi and blood, alleviates local pain and stiffness</t>
        </is>
      </c>
      <c r="G167" s="12" t="inlineStr">
        <is>
          <t>Along the course of the Bladder meridian (Point 28)</t>
        </is>
      </c>
      <c r="H167" s="13" t="inlineStr">
        <is>
          <t>Not Studied</t>
        </is>
      </c>
      <c r="I167" s="14" t="n"/>
    </row>
    <row r="168" ht="20" customHeight="1">
      <c r="A168" s="15" t="inlineStr">
        <is>
          <t>BL-29</t>
        </is>
      </c>
      <c r="B168" s="16" t="inlineStr"/>
      <c r="C168" s="16" t="inlineStr"/>
      <c r="D168" s="16" t="inlineStr">
        <is>
          <t>Bladder Point 29</t>
        </is>
      </c>
      <c r="E168" s="16" t="inlineStr">
        <is>
          <t>Standard Meridian Point</t>
        </is>
      </c>
      <c r="F168" s="17" t="inlineStr">
        <is>
          <t>Regulates local meridian qi and blood, alleviates local pain and stiffness</t>
        </is>
      </c>
      <c r="G168" s="17" t="inlineStr">
        <is>
          <t>Along the course of the Bladder meridian (Point 29)</t>
        </is>
      </c>
      <c r="H168" s="13" t="inlineStr">
        <is>
          <t>Not Studied</t>
        </is>
      </c>
      <c r="I168" s="14" t="n"/>
    </row>
    <row r="169" ht="20" customHeight="1">
      <c r="A169" s="10" t="inlineStr">
        <is>
          <t>BL-30</t>
        </is>
      </c>
      <c r="B169" s="11" t="inlineStr"/>
      <c r="C169" s="11" t="inlineStr"/>
      <c r="D169" s="11" t="inlineStr">
        <is>
          <t>Bladder Point 30</t>
        </is>
      </c>
      <c r="E169" s="11" t="inlineStr">
        <is>
          <t>Standard Meridian Point</t>
        </is>
      </c>
      <c r="F169" s="12" t="inlineStr">
        <is>
          <t>Regulates local meridian qi and blood, alleviates local pain and stiffness</t>
        </is>
      </c>
      <c r="G169" s="12" t="inlineStr">
        <is>
          <t>Along the course of the Bladder meridian (Point 30)</t>
        </is>
      </c>
      <c r="H169" s="13" t="inlineStr">
        <is>
          <t>Not Studied</t>
        </is>
      </c>
      <c r="I169" s="14" t="n"/>
    </row>
    <row r="170" ht="20" customHeight="1">
      <c r="A170" s="15" t="inlineStr">
        <is>
          <t>BL-31</t>
        </is>
      </c>
      <c r="B170" s="16" t="inlineStr"/>
      <c r="C170" s="16" t="inlineStr"/>
      <c r="D170" s="16" t="inlineStr">
        <is>
          <t>Bladder Point 31</t>
        </is>
      </c>
      <c r="E170" s="16" t="inlineStr">
        <is>
          <t>Standard Meridian Point</t>
        </is>
      </c>
      <c r="F170" s="17" t="inlineStr">
        <is>
          <t>Regulates local meridian qi and blood, alleviates local pain and stiffness</t>
        </is>
      </c>
      <c r="G170" s="17" t="inlineStr">
        <is>
          <t>Along the course of the Bladder meridian (Point 31)</t>
        </is>
      </c>
      <c r="H170" s="13" t="inlineStr">
        <is>
          <t>Not Studied</t>
        </is>
      </c>
      <c r="I170" s="14" t="n"/>
    </row>
    <row r="171" ht="20" customHeight="1">
      <c r="A171" s="10" t="inlineStr">
        <is>
          <t>BL-32</t>
        </is>
      </c>
      <c r="B171" s="11" t="inlineStr"/>
      <c r="C171" s="11" t="inlineStr"/>
      <c r="D171" s="11" t="inlineStr">
        <is>
          <t>Bladder Point 32</t>
        </is>
      </c>
      <c r="E171" s="11" t="inlineStr">
        <is>
          <t>Standard Meridian Point</t>
        </is>
      </c>
      <c r="F171" s="12" t="inlineStr">
        <is>
          <t>Regulates local meridian qi and blood, alleviates local pain and stiffness</t>
        </is>
      </c>
      <c r="G171" s="12" t="inlineStr">
        <is>
          <t>Along the course of the Bladder meridian (Point 32)</t>
        </is>
      </c>
      <c r="H171" s="13" t="inlineStr">
        <is>
          <t>Not Studied</t>
        </is>
      </c>
      <c r="I171" s="14" t="n"/>
    </row>
    <row r="172" ht="20" customHeight="1">
      <c r="A172" s="15" t="inlineStr">
        <is>
          <t>BL-33</t>
        </is>
      </c>
      <c r="B172" s="16" t="inlineStr"/>
      <c r="C172" s="16" t="inlineStr"/>
      <c r="D172" s="16" t="inlineStr">
        <is>
          <t>Bladder Point 33</t>
        </is>
      </c>
      <c r="E172" s="16" t="inlineStr">
        <is>
          <t>Standard Meridian Point</t>
        </is>
      </c>
      <c r="F172" s="17" t="inlineStr">
        <is>
          <t>Regulates local meridian qi and blood, alleviates local pain and stiffness</t>
        </is>
      </c>
      <c r="G172" s="17" t="inlineStr">
        <is>
          <t>Along the course of the Bladder meridian (Point 33)</t>
        </is>
      </c>
      <c r="H172" s="13" t="inlineStr">
        <is>
          <t>Not Studied</t>
        </is>
      </c>
      <c r="I172" s="14" t="n"/>
    </row>
    <row r="173" ht="20" customHeight="1">
      <c r="A173" s="10" t="inlineStr">
        <is>
          <t>BL-34</t>
        </is>
      </c>
      <c r="B173" s="11" t="inlineStr"/>
      <c r="C173" s="11" t="inlineStr"/>
      <c r="D173" s="11" t="inlineStr">
        <is>
          <t>Bladder Point 34</t>
        </is>
      </c>
      <c r="E173" s="11" t="inlineStr">
        <is>
          <t>Standard Meridian Point</t>
        </is>
      </c>
      <c r="F173" s="12" t="inlineStr">
        <is>
          <t>Regulates local meridian qi and blood, alleviates local pain and stiffness</t>
        </is>
      </c>
      <c r="G173" s="12" t="inlineStr">
        <is>
          <t>Along the course of the Bladder meridian (Point 34)</t>
        </is>
      </c>
      <c r="H173" s="13" t="inlineStr">
        <is>
          <t>Not Studied</t>
        </is>
      </c>
      <c r="I173" s="14" t="n"/>
    </row>
    <row r="174" ht="20" customHeight="1">
      <c r="A174" s="15" t="inlineStr">
        <is>
          <t>BL-35</t>
        </is>
      </c>
      <c r="B174" s="16" t="inlineStr"/>
      <c r="C174" s="16" t="inlineStr"/>
      <c r="D174" s="16" t="inlineStr">
        <is>
          <t>Bladder Point 35</t>
        </is>
      </c>
      <c r="E174" s="16" t="inlineStr">
        <is>
          <t>Standard Meridian Point</t>
        </is>
      </c>
      <c r="F174" s="17" t="inlineStr">
        <is>
          <t>Regulates local meridian qi and blood, alleviates local pain and stiffness</t>
        </is>
      </c>
      <c r="G174" s="17" t="inlineStr">
        <is>
          <t>Along the course of the Bladder meridian (Point 35)</t>
        </is>
      </c>
      <c r="H174" s="13" t="inlineStr">
        <is>
          <t>Not Studied</t>
        </is>
      </c>
      <c r="I174" s="14" t="n"/>
    </row>
    <row r="175" ht="20" customHeight="1">
      <c r="A175" s="10" t="inlineStr">
        <is>
          <t>BL-36</t>
        </is>
      </c>
      <c r="B175" s="11" t="inlineStr"/>
      <c r="C175" s="11" t="inlineStr"/>
      <c r="D175" s="11" t="inlineStr">
        <is>
          <t>Bladder Point 36</t>
        </is>
      </c>
      <c r="E175" s="11" t="inlineStr">
        <is>
          <t>Standard Meridian Point</t>
        </is>
      </c>
      <c r="F175" s="12" t="inlineStr">
        <is>
          <t>Regulates local meridian qi and blood, alleviates local pain and stiffness</t>
        </is>
      </c>
      <c r="G175" s="12" t="inlineStr">
        <is>
          <t>Along the course of the Bladder meridian (Point 36)</t>
        </is>
      </c>
      <c r="H175" s="13" t="inlineStr">
        <is>
          <t>Not Studied</t>
        </is>
      </c>
      <c r="I175" s="14" t="n"/>
    </row>
    <row r="176" ht="20" customHeight="1">
      <c r="A176" s="15" t="inlineStr">
        <is>
          <t>BL-37</t>
        </is>
      </c>
      <c r="B176" s="16" t="inlineStr"/>
      <c r="C176" s="16" t="inlineStr"/>
      <c r="D176" s="16" t="inlineStr">
        <is>
          <t>Bladder Point 37</t>
        </is>
      </c>
      <c r="E176" s="16" t="inlineStr">
        <is>
          <t>Standard Meridian Point</t>
        </is>
      </c>
      <c r="F176" s="17" t="inlineStr">
        <is>
          <t>Regulates local meridian qi and blood, alleviates local pain and stiffness</t>
        </is>
      </c>
      <c r="G176" s="17" t="inlineStr">
        <is>
          <t>Along the course of the Bladder meridian (Point 37)</t>
        </is>
      </c>
      <c r="H176" s="13" t="inlineStr">
        <is>
          <t>Not Studied</t>
        </is>
      </c>
      <c r="I176" s="14" t="n"/>
    </row>
    <row r="177" ht="20" customHeight="1">
      <c r="A177" s="10" t="inlineStr">
        <is>
          <t>BL-38</t>
        </is>
      </c>
      <c r="B177" s="11" t="inlineStr"/>
      <c r="C177" s="11" t="inlineStr"/>
      <c r="D177" s="11" t="inlineStr">
        <is>
          <t>Bladder Point 38</t>
        </is>
      </c>
      <c r="E177" s="11" t="inlineStr">
        <is>
          <t>Standard Meridian Point</t>
        </is>
      </c>
      <c r="F177" s="12" t="inlineStr">
        <is>
          <t>Regulates local meridian qi and blood, alleviates local pain and stiffness</t>
        </is>
      </c>
      <c r="G177" s="12" t="inlineStr">
        <is>
          <t>Along the course of the Bladder meridian (Point 38)</t>
        </is>
      </c>
      <c r="H177" s="13" t="inlineStr">
        <is>
          <t>Not Studied</t>
        </is>
      </c>
      <c r="I177" s="14" t="n"/>
    </row>
    <row r="178" ht="20" customHeight="1">
      <c r="A178" s="15" t="inlineStr">
        <is>
          <t>BL-39</t>
        </is>
      </c>
      <c r="B178" s="16" t="inlineStr"/>
      <c r="C178" s="16" t="inlineStr"/>
      <c r="D178" s="16" t="inlineStr">
        <is>
          <t>Bladder Point 39</t>
        </is>
      </c>
      <c r="E178" s="16" t="inlineStr">
        <is>
          <t>Standard Meridian Point</t>
        </is>
      </c>
      <c r="F178" s="17" t="inlineStr">
        <is>
          <t>Regulates local meridian qi and blood, alleviates local pain and stiffness</t>
        </is>
      </c>
      <c r="G178" s="17" t="inlineStr">
        <is>
          <t>Along the course of the Bladder meridian (Point 39)</t>
        </is>
      </c>
      <c r="H178" s="13" t="inlineStr">
        <is>
          <t>Not Studied</t>
        </is>
      </c>
      <c r="I178" s="14" t="n"/>
    </row>
    <row r="179" ht="20" customHeight="1">
      <c r="A179" s="10" t="inlineStr">
        <is>
          <t>BL-40</t>
        </is>
      </c>
      <c r="B179" s="11" t="inlineStr">
        <is>
          <t>委中</t>
        </is>
      </c>
      <c r="C179" s="11" t="inlineStr">
        <is>
          <t>Wěizhōng</t>
        </is>
      </c>
      <c r="D179" s="11" t="inlineStr">
        <is>
          <t>Middle of the Crook</t>
        </is>
      </c>
      <c r="E179" s="11" t="inlineStr">
        <is>
          <t>He-Sea, Earth, Command Point (Back), Heavenly Star</t>
        </is>
      </c>
      <c r="F179" s="12" t="inlineStr">
        <is>
          <t>Foremost point for acute/chronic lumbar pain, clears heat/summer-heat, cools blood, benefits knees</t>
        </is>
      </c>
      <c r="G179" s="12" t="inlineStr">
        <is>
          <t>At back of knee, on popliteal crease, in depression midway between hamstring tendons</t>
        </is>
      </c>
      <c r="H179" s="13" t="inlineStr">
        <is>
          <t>Not Studied</t>
        </is>
      </c>
      <c r="I179" s="14" t="n"/>
    </row>
    <row r="180" ht="20" customHeight="1">
      <c r="A180" s="15" t="inlineStr">
        <is>
          <t>BL-41</t>
        </is>
      </c>
      <c r="B180" s="16" t="inlineStr"/>
      <c r="C180" s="16" t="inlineStr"/>
      <c r="D180" s="16" t="inlineStr">
        <is>
          <t>Bladder Point 41</t>
        </is>
      </c>
      <c r="E180" s="16" t="inlineStr">
        <is>
          <t>Standard Meridian Point</t>
        </is>
      </c>
      <c r="F180" s="17" t="inlineStr">
        <is>
          <t>Regulates local meridian qi and blood, alleviates local pain and stiffness</t>
        </is>
      </c>
      <c r="G180" s="17" t="inlineStr">
        <is>
          <t>Along the course of the Bladder meridian (Point 41)</t>
        </is>
      </c>
      <c r="H180" s="13" t="inlineStr">
        <is>
          <t>Not Studied</t>
        </is>
      </c>
      <c r="I180" s="14" t="n"/>
    </row>
    <row r="181" ht="20" customHeight="1">
      <c r="A181" s="10" t="inlineStr">
        <is>
          <t>BL-42</t>
        </is>
      </c>
      <c r="B181" s="11" t="inlineStr"/>
      <c r="C181" s="11" t="inlineStr"/>
      <c r="D181" s="11" t="inlineStr">
        <is>
          <t>Bladder Point 42</t>
        </is>
      </c>
      <c r="E181" s="11" t="inlineStr">
        <is>
          <t>Standard Meridian Point</t>
        </is>
      </c>
      <c r="F181" s="12" t="inlineStr">
        <is>
          <t>Regulates local meridian qi and blood, alleviates local pain and stiffness</t>
        </is>
      </c>
      <c r="G181" s="12" t="inlineStr">
        <is>
          <t>Along the course of the Bladder meridian (Point 42)</t>
        </is>
      </c>
      <c r="H181" s="13" t="inlineStr">
        <is>
          <t>Not Studied</t>
        </is>
      </c>
      <c r="I181" s="14" t="n"/>
    </row>
    <row r="182" ht="20" customHeight="1">
      <c r="A182" s="15" t="inlineStr">
        <is>
          <t>BL-43</t>
        </is>
      </c>
      <c r="B182" s="16" t="inlineStr"/>
      <c r="C182" s="16" t="inlineStr"/>
      <c r="D182" s="16" t="inlineStr">
        <is>
          <t>Bladder Point 43</t>
        </is>
      </c>
      <c r="E182" s="16" t="inlineStr">
        <is>
          <t>Standard Meridian Point</t>
        </is>
      </c>
      <c r="F182" s="17" t="inlineStr">
        <is>
          <t>Regulates local meridian qi and blood, alleviates local pain and stiffness</t>
        </is>
      </c>
      <c r="G182" s="17" t="inlineStr">
        <is>
          <t>Along the course of the Bladder meridian (Point 43)</t>
        </is>
      </c>
      <c r="H182" s="13" t="inlineStr">
        <is>
          <t>Not Studied</t>
        </is>
      </c>
      <c r="I182" s="14" t="n"/>
    </row>
    <row r="183" ht="20" customHeight="1">
      <c r="A183" s="10" t="inlineStr">
        <is>
          <t>BL-44</t>
        </is>
      </c>
      <c r="B183" s="11" t="inlineStr"/>
      <c r="C183" s="11" t="inlineStr"/>
      <c r="D183" s="11" t="inlineStr">
        <is>
          <t>Bladder Point 44</t>
        </is>
      </c>
      <c r="E183" s="11" t="inlineStr">
        <is>
          <t>Standard Meridian Point</t>
        </is>
      </c>
      <c r="F183" s="12" t="inlineStr">
        <is>
          <t>Regulates local meridian qi and blood, alleviates local pain and stiffness</t>
        </is>
      </c>
      <c r="G183" s="12" t="inlineStr">
        <is>
          <t>Along the course of the Bladder meridian (Point 44)</t>
        </is>
      </c>
      <c r="H183" s="13" t="inlineStr">
        <is>
          <t>Not Studied</t>
        </is>
      </c>
      <c r="I183" s="14" t="n"/>
    </row>
    <row r="184" ht="20" customHeight="1">
      <c r="A184" s="15" t="inlineStr">
        <is>
          <t>BL-45</t>
        </is>
      </c>
      <c r="B184" s="16" t="inlineStr"/>
      <c r="C184" s="16" t="inlineStr"/>
      <c r="D184" s="16" t="inlineStr">
        <is>
          <t>Bladder Point 45</t>
        </is>
      </c>
      <c r="E184" s="16" t="inlineStr">
        <is>
          <t>Standard Meridian Point</t>
        </is>
      </c>
      <c r="F184" s="17" t="inlineStr">
        <is>
          <t>Regulates local meridian qi and blood, alleviates local pain and stiffness</t>
        </is>
      </c>
      <c r="G184" s="17" t="inlineStr">
        <is>
          <t>Along the course of the Bladder meridian (Point 45)</t>
        </is>
      </c>
      <c r="H184" s="13" t="inlineStr">
        <is>
          <t>Not Studied</t>
        </is>
      </c>
      <c r="I184" s="14" t="n"/>
    </row>
    <row r="185" ht="20" customHeight="1">
      <c r="A185" s="10" t="inlineStr">
        <is>
          <t>BL-46</t>
        </is>
      </c>
      <c r="B185" s="11" t="inlineStr"/>
      <c r="C185" s="11" t="inlineStr"/>
      <c r="D185" s="11" t="inlineStr">
        <is>
          <t>Bladder Point 46</t>
        </is>
      </c>
      <c r="E185" s="11" t="inlineStr">
        <is>
          <t>Standard Meridian Point</t>
        </is>
      </c>
      <c r="F185" s="12" t="inlineStr">
        <is>
          <t>Regulates local meridian qi and blood, alleviates local pain and stiffness</t>
        </is>
      </c>
      <c r="G185" s="12" t="inlineStr">
        <is>
          <t>Along the course of the Bladder meridian (Point 46)</t>
        </is>
      </c>
      <c r="H185" s="13" t="inlineStr">
        <is>
          <t>Not Studied</t>
        </is>
      </c>
      <c r="I185" s="14" t="n"/>
    </row>
    <row r="186" ht="20" customHeight="1">
      <c r="A186" s="15" t="inlineStr">
        <is>
          <t>BL-47</t>
        </is>
      </c>
      <c r="B186" s="16" t="inlineStr"/>
      <c r="C186" s="16" t="inlineStr"/>
      <c r="D186" s="16" t="inlineStr">
        <is>
          <t>Bladder Point 47</t>
        </is>
      </c>
      <c r="E186" s="16" t="inlineStr">
        <is>
          <t>Standard Meridian Point</t>
        </is>
      </c>
      <c r="F186" s="17" t="inlineStr">
        <is>
          <t>Regulates local meridian qi and blood, alleviates local pain and stiffness</t>
        </is>
      </c>
      <c r="G186" s="17" t="inlineStr">
        <is>
          <t>Along the course of the Bladder meridian (Point 47)</t>
        </is>
      </c>
      <c r="H186" s="13" t="inlineStr">
        <is>
          <t>Not Studied</t>
        </is>
      </c>
      <c r="I186" s="14" t="n"/>
    </row>
    <row r="187" ht="20" customHeight="1">
      <c r="A187" s="10" t="inlineStr">
        <is>
          <t>BL-48</t>
        </is>
      </c>
      <c r="B187" s="11" t="inlineStr"/>
      <c r="C187" s="11" t="inlineStr"/>
      <c r="D187" s="11" t="inlineStr">
        <is>
          <t>Bladder Point 48</t>
        </is>
      </c>
      <c r="E187" s="11" t="inlineStr">
        <is>
          <t>Standard Meridian Point</t>
        </is>
      </c>
      <c r="F187" s="12" t="inlineStr">
        <is>
          <t>Regulates local meridian qi and blood, alleviates local pain and stiffness</t>
        </is>
      </c>
      <c r="G187" s="12" t="inlineStr">
        <is>
          <t>Along the course of the Bladder meridian (Point 48)</t>
        </is>
      </c>
      <c r="H187" s="13" t="inlineStr">
        <is>
          <t>Not Studied</t>
        </is>
      </c>
      <c r="I187" s="14" t="n"/>
    </row>
    <row r="188" ht="20" customHeight="1">
      <c r="A188" s="15" t="inlineStr">
        <is>
          <t>BL-49</t>
        </is>
      </c>
      <c r="B188" s="16" t="inlineStr"/>
      <c r="C188" s="16" t="inlineStr"/>
      <c r="D188" s="16" t="inlineStr">
        <is>
          <t>Bladder Point 49</t>
        </is>
      </c>
      <c r="E188" s="16" t="inlineStr">
        <is>
          <t>Standard Meridian Point</t>
        </is>
      </c>
      <c r="F188" s="17" t="inlineStr">
        <is>
          <t>Regulates local meridian qi and blood, alleviates local pain and stiffness</t>
        </is>
      </c>
      <c r="G188" s="17" t="inlineStr">
        <is>
          <t>Along the course of the Bladder meridian (Point 49)</t>
        </is>
      </c>
      <c r="H188" s="13" t="inlineStr">
        <is>
          <t>Not Studied</t>
        </is>
      </c>
      <c r="I188" s="14" t="n"/>
    </row>
    <row r="189" ht="20" customHeight="1">
      <c r="A189" s="10" t="inlineStr">
        <is>
          <t>BL-50</t>
        </is>
      </c>
      <c r="B189" s="11" t="inlineStr"/>
      <c r="C189" s="11" t="inlineStr"/>
      <c r="D189" s="11" t="inlineStr">
        <is>
          <t>Bladder Point 50</t>
        </is>
      </c>
      <c r="E189" s="11" t="inlineStr">
        <is>
          <t>Standard Meridian Point</t>
        </is>
      </c>
      <c r="F189" s="12" t="inlineStr">
        <is>
          <t>Regulates local meridian qi and blood, alleviates local pain and stiffness</t>
        </is>
      </c>
      <c r="G189" s="12" t="inlineStr">
        <is>
          <t>Along the course of the Bladder meridian (Point 50)</t>
        </is>
      </c>
      <c r="H189" s="13" t="inlineStr">
        <is>
          <t>Not Studied</t>
        </is>
      </c>
      <c r="I189" s="14" t="n"/>
    </row>
    <row r="190" ht="20" customHeight="1">
      <c r="A190" s="15" t="inlineStr">
        <is>
          <t>BL-51</t>
        </is>
      </c>
      <c r="B190" s="16" t="inlineStr"/>
      <c r="C190" s="16" t="inlineStr"/>
      <c r="D190" s="16" t="inlineStr">
        <is>
          <t>Bladder Point 51</t>
        </is>
      </c>
      <c r="E190" s="16" t="inlineStr">
        <is>
          <t>Standard Meridian Point</t>
        </is>
      </c>
      <c r="F190" s="17" t="inlineStr">
        <is>
          <t>Regulates local meridian qi and blood, alleviates local pain and stiffness</t>
        </is>
      </c>
      <c r="G190" s="17" t="inlineStr">
        <is>
          <t>Along the course of the Bladder meridian (Point 51)</t>
        </is>
      </c>
      <c r="H190" s="13" t="inlineStr">
        <is>
          <t>Not Studied</t>
        </is>
      </c>
      <c r="I190" s="14" t="n"/>
    </row>
    <row r="191" ht="20" customHeight="1">
      <c r="A191" s="10" t="inlineStr">
        <is>
          <t>BL-52</t>
        </is>
      </c>
      <c r="B191" s="11" t="inlineStr"/>
      <c r="C191" s="11" t="inlineStr"/>
      <c r="D191" s="11" t="inlineStr">
        <is>
          <t>Bladder Point 52</t>
        </is>
      </c>
      <c r="E191" s="11" t="inlineStr">
        <is>
          <t>Standard Meridian Point</t>
        </is>
      </c>
      <c r="F191" s="12" t="inlineStr">
        <is>
          <t>Regulates local meridian qi and blood, alleviates local pain and stiffness</t>
        </is>
      </c>
      <c r="G191" s="12" t="inlineStr">
        <is>
          <t>Along the course of the Bladder meridian (Point 52)</t>
        </is>
      </c>
      <c r="H191" s="13" t="inlineStr">
        <is>
          <t>Not Studied</t>
        </is>
      </c>
      <c r="I191" s="14" t="n"/>
    </row>
    <row r="192" ht="20" customHeight="1">
      <c r="A192" s="15" t="inlineStr">
        <is>
          <t>BL-53</t>
        </is>
      </c>
      <c r="B192" s="16" t="inlineStr"/>
      <c r="C192" s="16" t="inlineStr"/>
      <c r="D192" s="16" t="inlineStr">
        <is>
          <t>Bladder Point 53</t>
        </is>
      </c>
      <c r="E192" s="16" t="inlineStr">
        <is>
          <t>Standard Meridian Point</t>
        </is>
      </c>
      <c r="F192" s="17" t="inlineStr">
        <is>
          <t>Regulates local meridian qi and blood, alleviates local pain and stiffness</t>
        </is>
      </c>
      <c r="G192" s="17" t="inlineStr">
        <is>
          <t>Along the course of the Bladder meridian (Point 53)</t>
        </is>
      </c>
      <c r="H192" s="13" t="inlineStr">
        <is>
          <t>Not Studied</t>
        </is>
      </c>
      <c r="I192" s="14" t="n"/>
    </row>
    <row r="193" ht="20" customHeight="1">
      <c r="A193" s="10" t="inlineStr">
        <is>
          <t>BL-54</t>
        </is>
      </c>
      <c r="B193" s="11" t="inlineStr"/>
      <c r="C193" s="11" t="inlineStr"/>
      <c r="D193" s="11" t="inlineStr">
        <is>
          <t>Bladder Point 54</t>
        </is>
      </c>
      <c r="E193" s="11" t="inlineStr">
        <is>
          <t>Standard Meridian Point</t>
        </is>
      </c>
      <c r="F193" s="12" t="inlineStr">
        <is>
          <t>Regulates local meridian qi and blood, alleviates local pain and stiffness</t>
        </is>
      </c>
      <c r="G193" s="12" t="inlineStr">
        <is>
          <t>Along the course of the Bladder meridian (Point 54)</t>
        </is>
      </c>
      <c r="H193" s="13" t="inlineStr">
        <is>
          <t>Not Studied</t>
        </is>
      </c>
      <c r="I193" s="14" t="n"/>
    </row>
    <row r="194" ht="20" customHeight="1">
      <c r="A194" s="15" t="inlineStr">
        <is>
          <t>BL-55</t>
        </is>
      </c>
      <c r="B194" s="16" t="inlineStr"/>
      <c r="C194" s="16" t="inlineStr"/>
      <c r="D194" s="16" t="inlineStr">
        <is>
          <t>Bladder Point 55</t>
        </is>
      </c>
      <c r="E194" s="16" t="inlineStr">
        <is>
          <t>Standard Meridian Point</t>
        </is>
      </c>
      <c r="F194" s="17" t="inlineStr">
        <is>
          <t>Regulates local meridian qi and blood, alleviates local pain and stiffness</t>
        </is>
      </c>
      <c r="G194" s="17" t="inlineStr">
        <is>
          <t>Along the course of the Bladder meridian (Point 55)</t>
        </is>
      </c>
      <c r="H194" s="13" t="inlineStr">
        <is>
          <t>Not Studied</t>
        </is>
      </c>
      <c r="I194" s="14" t="n"/>
    </row>
    <row r="195" ht="20" customHeight="1">
      <c r="A195" s="10" t="inlineStr">
        <is>
          <t>BL-56</t>
        </is>
      </c>
      <c r="B195" s="11" t="inlineStr"/>
      <c r="C195" s="11" t="inlineStr"/>
      <c r="D195" s="11" t="inlineStr">
        <is>
          <t>Bladder Point 56</t>
        </is>
      </c>
      <c r="E195" s="11" t="inlineStr">
        <is>
          <t>Standard Meridian Point</t>
        </is>
      </c>
      <c r="F195" s="12" t="inlineStr">
        <is>
          <t>Regulates local meridian qi and blood, alleviates local pain and stiffness</t>
        </is>
      </c>
      <c r="G195" s="12" t="inlineStr">
        <is>
          <t>Along the course of the Bladder meridian (Point 56)</t>
        </is>
      </c>
      <c r="H195" s="13" t="inlineStr">
        <is>
          <t>Not Studied</t>
        </is>
      </c>
      <c r="I195" s="14" t="n"/>
    </row>
    <row r="196" ht="20" customHeight="1">
      <c r="A196" s="15" t="inlineStr">
        <is>
          <t>BL-57</t>
        </is>
      </c>
      <c r="B196" s="16" t="inlineStr">
        <is>
          <t>承山</t>
        </is>
      </c>
      <c r="C196" s="16" t="inlineStr">
        <is>
          <t>Chéngshān</t>
        </is>
      </c>
      <c r="D196" s="16" t="inlineStr">
        <is>
          <t>Mountain Support</t>
        </is>
      </c>
      <c r="E196" s="16" t="inlineStr">
        <is>
          <t>Heavenly Star Point</t>
        </is>
      </c>
      <c r="F196" s="17" t="inlineStr">
        <is>
          <t>Foremost distal point for haemorrhoids (bleeding/swelling), treats calf cramps, heel pain</t>
        </is>
      </c>
      <c r="G196" s="17" t="inlineStr">
        <is>
          <t>On lower leg, in depression formed below bellies of gastrocnemius muscle when flexed</t>
        </is>
      </c>
      <c r="H196" s="13" t="inlineStr">
        <is>
          <t>Not Studied</t>
        </is>
      </c>
      <c r="I196" s="14" t="n"/>
    </row>
    <row r="197" ht="20" customHeight="1">
      <c r="A197" s="10" t="inlineStr">
        <is>
          <t>BL-58</t>
        </is>
      </c>
      <c r="B197" s="11" t="inlineStr"/>
      <c r="C197" s="11" t="inlineStr"/>
      <c r="D197" s="11" t="inlineStr">
        <is>
          <t>Bladder Point 58</t>
        </is>
      </c>
      <c r="E197" s="11" t="inlineStr">
        <is>
          <t>Standard Meridian Point</t>
        </is>
      </c>
      <c r="F197" s="12" t="inlineStr">
        <is>
          <t>Regulates local meridian qi and blood, alleviates local pain and stiffness</t>
        </is>
      </c>
      <c r="G197" s="12" t="inlineStr">
        <is>
          <t>Along the course of the Bladder meridian (Point 58)</t>
        </is>
      </c>
      <c r="H197" s="13" t="inlineStr">
        <is>
          <t>Not Studied</t>
        </is>
      </c>
      <c r="I197" s="14" t="n"/>
    </row>
    <row r="198" ht="20" customHeight="1">
      <c r="A198" s="15" t="inlineStr">
        <is>
          <t>BL-59</t>
        </is>
      </c>
      <c r="B198" s="16" t="inlineStr"/>
      <c r="C198" s="16" t="inlineStr"/>
      <c r="D198" s="16" t="inlineStr">
        <is>
          <t>Bladder Point 59</t>
        </is>
      </c>
      <c r="E198" s="16" t="inlineStr">
        <is>
          <t>Standard Meridian Point</t>
        </is>
      </c>
      <c r="F198" s="17" t="inlineStr">
        <is>
          <t>Regulates local meridian qi and blood, alleviates local pain and stiffness</t>
        </is>
      </c>
      <c r="G198" s="17" t="inlineStr">
        <is>
          <t>Along the course of the Bladder meridian (Point 59)</t>
        </is>
      </c>
      <c r="H198" s="13" t="inlineStr">
        <is>
          <t>Not Studied</t>
        </is>
      </c>
      <c r="I198" s="14" t="n"/>
    </row>
    <row r="199" ht="20" customHeight="1">
      <c r="A199" s="10" t="inlineStr">
        <is>
          <t>BL-60</t>
        </is>
      </c>
      <c r="B199" s="11" t="inlineStr">
        <is>
          <t>昆侖</t>
        </is>
      </c>
      <c r="C199" s="11" t="inlineStr">
        <is>
          <t>Kūnlún</t>
        </is>
      </c>
      <c r="D199" s="11" t="inlineStr">
        <is>
          <t>Kunlun Mountains</t>
        </is>
      </c>
      <c r="E199" s="11" t="inlineStr">
        <is>
          <t>Jing-River &amp; Fire Point, Heavenly Star</t>
        </is>
      </c>
      <c r="F199" s="12" t="inlineStr">
        <is>
          <t>Essential distal point for occipital headache, back pain, ankle/heel pain, relaxes sinews</t>
        </is>
      </c>
      <c r="G199" s="12" t="inlineStr">
        <is>
          <t>In depression between prominence of lateral malleolus and Achilles tendon</t>
        </is>
      </c>
      <c r="H199" s="13" t="inlineStr">
        <is>
          <t>Not Studied</t>
        </is>
      </c>
      <c r="I199" s="14" t="n"/>
    </row>
    <row r="200" ht="20" customHeight="1">
      <c r="A200" s="15" t="inlineStr">
        <is>
          <t>BL-61</t>
        </is>
      </c>
      <c r="B200" s="16" t="inlineStr"/>
      <c r="C200" s="16" t="inlineStr"/>
      <c r="D200" s="16" t="inlineStr">
        <is>
          <t>Bladder Point 61</t>
        </is>
      </c>
      <c r="E200" s="16" t="inlineStr">
        <is>
          <t>Standard Meridian Point</t>
        </is>
      </c>
      <c r="F200" s="17" t="inlineStr">
        <is>
          <t>Regulates local meridian qi and blood, alleviates local pain and stiffness</t>
        </is>
      </c>
      <c r="G200" s="17" t="inlineStr">
        <is>
          <t>Along the course of the Bladder meridian (Point 61)</t>
        </is>
      </c>
      <c r="H200" s="13" t="inlineStr">
        <is>
          <t>Not Studied</t>
        </is>
      </c>
      <c r="I200" s="14" t="n"/>
    </row>
    <row r="201" ht="20" customHeight="1">
      <c r="A201" s="10" t="inlineStr">
        <is>
          <t>BL-62</t>
        </is>
      </c>
      <c r="B201" s="11" t="inlineStr">
        <is>
          <t>申脈</t>
        </is>
      </c>
      <c r="C201" s="11" t="inlineStr">
        <is>
          <t>Shēnmài</t>
        </is>
      </c>
      <c r="D201" s="11" t="inlineStr">
        <is>
          <t>Extending Vessel</t>
        </is>
      </c>
      <c r="E201" s="11" t="inlineStr">
        <is>
          <t>Confluent of Yang Motility vessel, Ghost Point</t>
        </is>
      </c>
      <c r="F201" s="12" t="inlineStr">
        <is>
          <t>Pacifies interior wind, calms spirit (epilepsy, insomnia), opens Yang Motility vessel, benefits eyes</t>
        </is>
      </c>
      <c r="G201" s="12" t="inlineStr">
        <is>
          <t>Lateral side of foot, approximately 0.5 cun inferior to lateral malleolus, posterior to tendons</t>
        </is>
      </c>
      <c r="H201" s="13" t="inlineStr">
        <is>
          <t>Not Studied</t>
        </is>
      </c>
      <c r="I201" s="14" t="n"/>
    </row>
    <row r="202" ht="20" customHeight="1">
      <c r="A202" s="15" t="inlineStr">
        <is>
          <t>BL-63</t>
        </is>
      </c>
      <c r="B202" s="16" t="inlineStr"/>
      <c r="C202" s="16" t="inlineStr"/>
      <c r="D202" s="16" t="inlineStr">
        <is>
          <t>Bladder Point 63</t>
        </is>
      </c>
      <c r="E202" s="16" t="inlineStr">
        <is>
          <t>Standard Meridian Point</t>
        </is>
      </c>
      <c r="F202" s="17" t="inlineStr">
        <is>
          <t>Regulates local meridian qi and blood, alleviates local pain and stiffness</t>
        </is>
      </c>
      <c r="G202" s="17" t="inlineStr">
        <is>
          <t>Along the course of the Bladder meridian (Point 63)</t>
        </is>
      </c>
      <c r="H202" s="13" t="inlineStr">
        <is>
          <t>Not Studied</t>
        </is>
      </c>
      <c r="I202" s="14" t="n"/>
    </row>
    <row r="203" ht="20" customHeight="1">
      <c r="A203" s="10" t="inlineStr">
        <is>
          <t>BL-64</t>
        </is>
      </c>
      <c r="B203" s="11" t="inlineStr"/>
      <c r="C203" s="11" t="inlineStr"/>
      <c r="D203" s="11" t="inlineStr">
        <is>
          <t>Bladder Point 64</t>
        </is>
      </c>
      <c r="E203" s="11" t="inlineStr">
        <is>
          <t>Standard Meridian Point</t>
        </is>
      </c>
      <c r="F203" s="12" t="inlineStr">
        <is>
          <t>Regulates local meridian qi and blood, alleviates local pain and stiffness</t>
        </is>
      </c>
      <c r="G203" s="12" t="inlineStr">
        <is>
          <t>Along the course of the Bladder meridian (Point 64)</t>
        </is>
      </c>
      <c r="H203" s="13" t="inlineStr">
        <is>
          <t>Not Studied</t>
        </is>
      </c>
      <c r="I203" s="14" t="n"/>
    </row>
    <row r="204" ht="20" customHeight="1">
      <c r="A204" s="15" t="inlineStr">
        <is>
          <t>BL-65</t>
        </is>
      </c>
      <c r="B204" s="16" t="inlineStr"/>
      <c r="C204" s="16" t="inlineStr"/>
      <c r="D204" s="16" t="inlineStr">
        <is>
          <t>Bladder Point 65</t>
        </is>
      </c>
      <c r="E204" s="16" t="inlineStr">
        <is>
          <t>Standard Meridian Point</t>
        </is>
      </c>
      <c r="F204" s="17" t="inlineStr">
        <is>
          <t>Regulates local meridian qi and blood, alleviates local pain and stiffness</t>
        </is>
      </c>
      <c r="G204" s="17" t="inlineStr">
        <is>
          <t>Along the course of the Bladder meridian (Point 65)</t>
        </is>
      </c>
      <c r="H204" s="13" t="inlineStr">
        <is>
          <t>Not Studied</t>
        </is>
      </c>
      <c r="I204" s="14" t="n"/>
    </row>
    <row r="205" ht="20" customHeight="1">
      <c r="A205" s="10" t="inlineStr">
        <is>
          <t>BL-66</t>
        </is>
      </c>
      <c r="B205" s="11" t="inlineStr"/>
      <c r="C205" s="11" t="inlineStr"/>
      <c r="D205" s="11" t="inlineStr">
        <is>
          <t>Bladder Point 66</t>
        </is>
      </c>
      <c r="E205" s="11" t="inlineStr">
        <is>
          <t>Standard Meridian Point</t>
        </is>
      </c>
      <c r="F205" s="12" t="inlineStr">
        <is>
          <t>Regulates local meridian qi and blood, alleviates local pain and stiffness</t>
        </is>
      </c>
      <c r="G205" s="12" t="inlineStr">
        <is>
          <t>Along the course of the Bladder meridian (Point 66)</t>
        </is>
      </c>
      <c r="H205" s="13" t="inlineStr">
        <is>
          <t>Not Studied</t>
        </is>
      </c>
      <c r="I205" s="14" t="n"/>
    </row>
    <row r="206" ht="20" customHeight="1">
      <c r="A206" s="15" t="inlineStr">
        <is>
          <t>BL-67</t>
        </is>
      </c>
      <c r="B206" s="16" t="inlineStr"/>
      <c r="C206" s="16" t="inlineStr"/>
      <c r="D206" s="16" t="inlineStr">
        <is>
          <t>Bladder Point 67</t>
        </is>
      </c>
      <c r="E206" s="16" t="inlineStr">
        <is>
          <t>Standard Meridian Point</t>
        </is>
      </c>
      <c r="F206" s="17" t="inlineStr">
        <is>
          <t>Regulates local meridian qi and blood, alleviates local pain and stiffness</t>
        </is>
      </c>
      <c r="G206" s="17" t="inlineStr">
        <is>
          <t>Along the course of the Bladder meridian (Point 67)</t>
        </is>
      </c>
      <c r="H206" s="13" t="inlineStr">
        <is>
          <t>Not Studied</t>
        </is>
      </c>
      <c r="I206" s="14" t="n"/>
    </row>
    <row r="207" ht="22" customHeight="1">
      <c r="A207" s="9" t="inlineStr">
        <is>
          <t>KIDNEY MERIDIAN POINTS</t>
        </is>
      </c>
    </row>
    <row r="208" ht="20" customHeight="1">
      <c r="A208" s="15" t="inlineStr">
        <is>
          <t>KID-1</t>
        </is>
      </c>
      <c r="B208" s="16" t="inlineStr">
        <is>
          <t>湧泉</t>
        </is>
      </c>
      <c r="C208" s="16" t="inlineStr">
        <is>
          <t>Yǒngquán</t>
        </is>
      </c>
      <c r="D208" s="16" t="inlineStr">
        <is>
          <t>Gushing Spring</t>
        </is>
      </c>
      <c r="E208" s="16" t="inlineStr">
        <is>
          <t>Jing-Well &amp; Wood Point</t>
        </is>
      </c>
      <c r="F208" s="17" t="inlineStr">
        <is>
          <t>Powerfully descends excess (heat, yang, wind) from head, calms spirit, revives consciousness</t>
        </is>
      </c>
      <c r="G208" s="17" t="inlineStr">
        <is>
          <t>On sole of foot, in depression formed when foot is plantar flexed, between 2nd/3rd metatarsals</t>
        </is>
      </c>
      <c r="H208" s="13" t="inlineStr">
        <is>
          <t>Not Studied</t>
        </is>
      </c>
      <c r="I208" s="14" t="n"/>
    </row>
    <row r="209" ht="20" customHeight="1">
      <c r="A209" s="10" t="inlineStr">
        <is>
          <t>KID-2</t>
        </is>
      </c>
      <c r="B209" s="11" t="inlineStr"/>
      <c r="C209" s="11" t="inlineStr"/>
      <c r="D209" s="11" t="inlineStr">
        <is>
          <t>Kidney Point 2</t>
        </is>
      </c>
      <c r="E209" s="11" t="inlineStr">
        <is>
          <t>Standard Meridian Point</t>
        </is>
      </c>
      <c r="F209" s="12" t="inlineStr">
        <is>
          <t>Regulates local meridian qi and blood, alleviates local pain and stiffness</t>
        </is>
      </c>
      <c r="G209" s="12" t="inlineStr">
        <is>
          <t>Along the course of the Kidney meridian (Point 2)</t>
        </is>
      </c>
      <c r="H209" s="13" t="inlineStr">
        <is>
          <t>Not Studied</t>
        </is>
      </c>
      <c r="I209" s="14" t="n"/>
    </row>
    <row r="210" ht="20" customHeight="1">
      <c r="A210" s="15" t="inlineStr">
        <is>
          <t>KID-3</t>
        </is>
      </c>
      <c r="B210" s="16" t="inlineStr">
        <is>
          <t>太溪</t>
        </is>
      </c>
      <c r="C210" s="16" t="inlineStr">
        <is>
          <t>Tàixī</t>
        </is>
      </c>
      <c r="D210" s="16" t="inlineStr">
        <is>
          <t>Supreme Stream</t>
        </is>
      </c>
      <c r="E210" s="16" t="inlineStr">
        <is>
          <t>Shu-Stream, Yuan-Source, Earth Point</t>
        </is>
      </c>
      <c r="F210" s="17" t="inlineStr">
        <is>
          <t>Foremost point to tonify Kidney yin, yang, and essence, strengthens lower back, ears, and teeth</t>
        </is>
      </c>
      <c r="G210" s="17" t="inlineStr">
        <is>
          <t>In depression between medial malleolus and Achilles tendon, level with tip of medial malleolus</t>
        </is>
      </c>
      <c r="H210" s="13" t="inlineStr">
        <is>
          <t>Not Studied</t>
        </is>
      </c>
      <c r="I210" s="14" t="n"/>
    </row>
    <row r="211" ht="20" customHeight="1">
      <c r="A211" s="10" t="inlineStr">
        <is>
          <t>KID-4</t>
        </is>
      </c>
      <c r="B211" s="11" t="inlineStr"/>
      <c r="C211" s="11" t="inlineStr"/>
      <c r="D211" s="11" t="inlineStr">
        <is>
          <t>Kidney Point 4</t>
        </is>
      </c>
      <c r="E211" s="11" t="inlineStr">
        <is>
          <t>Standard Meridian Point</t>
        </is>
      </c>
      <c r="F211" s="12" t="inlineStr">
        <is>
          <t>Regulates local meridian qi and blood, alleviates local pain and stiffness</t>
        </is>
      </c>
      <c r="G211" s="12" t="inlineStr">
        <is>
          <t>Along the course of the Kidney meridian (Point 4)</t>
        </is>
      </c>
      <c r="H211" s="13" t="inlineStr">
        <is>
          <t>Not Studied</t>
        </is>
      </c>
      <c r="I211" s="14" t="n"/>
    </row>
    <row r="212" ht="20" customHeight="1">
      <c r="A212" s="15" t="inlineStr">
        <is>
          <t>KID-5</t>
        </is>
      </c>
      <c r="B212" s="16" t="inlineStr"/>
      <c r="C212" s="16" t="inlineStr"/>
      <c r="D212" s="16" t="inlineStr">
        <is>
          <t>Kidney Point 5</t>
        </is>
      </c>
      <c r="E212" s="16" t="inlineStr">
        <is>
          <t>Standard Meridian Point</t>
        </is>
      </c>
      <c r="F212" s="17" t="inlineStr">
        <is>
          <t>Regulates local meridian qi and blood, alleviates local pain and stiffness</t>
        </is>
      </c>
      <c r="G212" s="17" t="inlineStr">
        <is>
          <t>Along the course of the Kidney meridian (Point 5)</t>
        </is>
      </c>
      <c r="H212" s="13" t="inlineStr">
        <is>
          <t>Not Studied</t>
        </is>
      </c>
      <c r="I212" s="14" t="n"/>
    </row>
    <row r="213" ht="20" customHeight="1">
      <c r="A213" s="10" t="inlineStr">
        <is>
          <t>KID-6</t>
        </is>
      </c>
      <c r="B213" s="11" t="inlineStr">
        <is>
          <t>照海</t>
        </is>
      </c>
      <c r="C213" s="11" t="inlineStr">
        <is>
          <t>Zhàohǎi</t>
        </is>
      </c>
      <c r="D213" s="11" t="inlineStr">
        <is>
          <t>Shining Sea</t>
        </is>
      </c>
      <c r="E213" s="11" t="inlineStr">
        <is>
          <t>Confluent of Yin Motility vessel</t>
        </is>
      </c>
      <c r="F213" s="12" t="inlineStr">
        <is>
          <t>Nourishes Kidney yin, clears deficiency heat, benefits throat (dry/sore throat), opens Yin Motility</t>
        </is>
      </c>
      <c r="G213" s="12" t="inlineStr">
        <is>
          <t>1 cun below prominence of medial malleolus, in groove formed by ligament bundles</t>
        </is>
      </c>
      <c r="H213" s="13" t="inlineStr">
        <is>
          <t>Not Studied</t>
        </is>
      </c>
      <c r="I213" s="14" t="n"/>
    </row>
    <row r="214" ht="20" customHeight="1">
      <c r="A214" s="15" t="inlineStr">
        <is>
          <t>KID-7</t>
        </is>
      </c>
      <c r="B214" s="16" t="inlineStr">
        <is>
          <t>復溜</t>
        </is>
      </c>
      <c r="C214" s="16" t="inlineStr">
        <is>
          <t>Fùliū</t>
        </is>
      </c>
      <c r="D214" s="16" t="inlineStr">
        <is>
          <t>Returning Current</t>
        </is>
      </c>
      <c r="E214" s="16" t="inlineStr">
        <is>
          <t>Jing-River &amp; Metal (Mother) Point</t>
        </is>
      </c>
      <c r="F214" s="17" t="inlineStr">
        <is>
          <t>Regulates water passages, controls sweating (spontaneous/night sweat), strengthens lumbar spine</t>
        </is>
      </c>
      <c r="G214" s="17" t="inlineStr">
        <is>
          <t>On medial aspect of lower leg, 2 cun directly superior to Taixi KID-3, on anterior border of Achilles tendon</t>
        </is>
      </c>
      <c r="H214" s="13" t="inlineStr">
        <is>
          <t>Not Studied</t>
        </is>
      </c>
      <c r="I214" s="14" t="n"/>
    </row>
    <row r="215" ht="20" customHeight="1">
      <c r="A215" s="10" t="inlineStr">
        <is>
          <t>KID-8</t>
        </is>
      </c>
      <c r="B215" s="11" t="inlineStr"/>
      <c r="C215" s="11" t="inlineStr"/>
      <c r="D215" s="11" t="inlineStr">
        <is>
          <t>Kidney Point 8</t>
        </is>
      </c>
      <c r="E215" s="11" t="inlineStr">
        <is>
          <t>Standard Meridian Point</t>
        </is>
      </c>
      <c r="F215" s="12" t="inlineStr">
        <is>
          <t>Regulates local meridian qi and blood, alleviates local pain and stiffness</t>
        </is>
      </c>
      <c r="G215" s="12" t="inlineStr">
        <is>
          <t>Along the course of the Kidney meridian (Point 8)</t>
        </is>
      </c>
      <c r="H215" s="13" t="inlineStr">
        <is>
          <t>Not Studied</t>
        </is>
      </c>
      <c r="I215" s="14" t="n"/>
    </row>
    <row r="216" ht="20" customHeight="1">
      <c r="A216" s="15" t="inlineStr">
        <is>
          <t>KID-9</t>
        </is>
      </c>
      <c r="B216" s="16" t="inlineStr"/>
      <c r="C216" s="16" t="inlineStr"/>
      <c r="D216" s="16" t="inlineStr">
        <is>
          <t>Kidney Point 9</t>
        </is>
      </c>
      <c r="E216" s="16" t="inlineStr">
        <is>
          <t>Standard Meridian Point</t>
        </is>
      </c>
      <c r="F216" s="17" t="inlineStr">
        <is>
          <t>Regulates local meridian qi and blood, alleviates local pain and stiffness</t>
        </is>
      </c>
      <c r="G216" s="17" t="inlineStr">
        <is>
          <t>Along the course of the Kidney meridian (Point 9)</t>
        </is>
      </c>
      <c r="H216" s="13" t="inlineStr">
        <is>
          <t>Not Studied</t>
        </is>
      </c>
      <c r="I216" s="14" t="n"/>
    </row>
    <row r="217" ht="20" customHeight="1">
      <c r="A217" s="10" t="inlineStr">
        <is>
          <t>KID-10</t>
        </is>
      </c>
      <c r="B217" s="11" t="inlineStr"/>
      <c r="C217" s="11" t="inlineStr"/>
      <c r="D217" s="11" t="inlineStr">
        <is>
          <t>Kidney Point 10</t>
        </is>
      </c>
      <c r="E217" s="11" t="inlineStr">
        <is>
          <t>Standard Meridian Point</t>
        </is>
      </c>
      <c r="F217" s="12" t="inlineStr">
        <is>
          <t>Regulates local meridian qi and blood, alleviates local pain and stiffness</t>
        </is>
      </c>
      <c r="G217" s="12" t="inlineStr">
        <is>
          <t>Along the course of the Kidney meridian (Point 10)</t>
        </is>
      </c>
      <c r="H217" s="13" t="inlineStr">
        <is>
          <t>Not Studied</t>
        </is>
      </c>
      <c r="I217" s="14" t="n"/>
    </row>
    <row r="218" ht="20" customHeight="1">
      <c r="A218" s="15" t="inlineStr">
        <is>
          <t>KID-11</t>
        </is>
      </c>
      <c r="B218" s="16" t="inlineStr"/>
      <c r="C218" s="16" t="inlineStr"/>
      <c r="D218" s="16" t="inlineStr">
        <is>
          <t>Kidney Point 11</t>
        </is>
      </c>
      <c r="E218" s="16" t="inlineStr">
        <is>
          <t>Standard Meridian Point</t>
        </is>
      </c>
      <c r="F218" s="17" t="inlineStr">
        <is>
          <t>Regulates local meridian qi and blood, alleviates local pain and stiffness</t>
        </is>
      </c>
      <c r="G218" s="17" t="inlineStr">
        <is>
          <t>Along the course of the Kidney meridian (Point 11)</t>
        </is>
      </c>
      <c r="H218" s="13" t="inlineStr">
        <is>
          <t>Not Studied</t>
        </is>
      </c>
      <c r="I218" s="14" t="n"/>
    </row>
    <row r="219" ht="20" customHeight="1">
      <c r="A219" s="10" t="inlineStr">
        <is>
          <t>KID-12</t>
        </is>
      </c>
      <c r="B219" s="11" t="inlineStr"/>
      <c r="C219" s="11" t="inlineStr"/>
      <c r="D219" s="11" t="inlineStr">
        <is>
          <t>Kidney Point 12</t>
        </is>
      </c>
      <c r="E219" s="11" t="inlineStr">
        <is>
          <t>Standard Meridian Point</t>
        </is>
      </c>
      <c r="F219" s="12" t="inlineStr">
        <is>
          <t>Regulates local meridian qi and blood, alleviates local pain and stiffness</t>
        </is>
      </c>
      <c r="G219" s="12" t="inlineStr">
        <is>
          <t>Along the course of the Kidney meridian (Point 12)</t>
        </is>
      </c>
      <c r="H219" s="13" t="inlineStr">
        <is>
          <t>Not Studied</t>
        </is>
      </c>
      <c r="I219" s="14" t="n"/>
    </row>
    <row r="220" ht="20" customHeight="1">
      <c r="A220" s="15" t="inlineStr">
        <is>
          <t>KID-13</t>
        </is>
      </c>
      <c r="B220" s="16" t="inlineStr"/>
      <c r="C220" s="16" t="inlineStr"/>
      <c r="D220" s="16" t="inlineStr">
        <is>
          <t>Kidney Point 13</t>
        </is>
      </c>
      <c r="E220" s="16" t="inlineStr">
        <is>
          <t>Standard Meridian Point</t>
        </is>
      </c>
      <c r="F220" s="17" t="inlineStr">
        <is>
          <t>Regulates local meridian qi and blood, alleviates local pain and stiffness</t>
        </is>
      </c>
      <c r="G220" s="17" t="inlineStr">
        <is>
          <t>Along the course of the Kidney meridian (Point 13)</t>
        </is>
      </c>
      <c r="H220" s="13" t="inlineStr">
        <is>
          <t>Not Studied</t>
        </is>
      </c>
      <c r="I220" s="14" t="n"/>
    </row>
    <row r="221" ht="20" customHeight="1">
      <c r="A221" s="10" t="inlineStr">
        <is>
          <t>KID-14</t>
        </is>
      </c>
      <c r="B221" s="11" t="inlineStr"/>
      <c r="C221" s="11" t="inlineStr"/>
      <c r="D221" s="11" t="inlineStr">
        <is>
          <t>Kidney Point 14</t>
        </is>
      </c>
      <c r="E221" s="11" t="inlineStr">
        <is>
          <t>Standard Meridian Point</t>
        </is>
      </c>
      <c r="F221" s="12" t="inlineStr">
        <is>
          <t>Regulates local meridian qi and blood, alleviates local pain and stiffness</t>
        </is>
      </c>
      <c r="G221" s="12" t="inlineStr">
        <is>
          <t>Along the course of the Kidney meridian (Point 14)</t>
        </is>
      </c>
      <c r="H221" s="13" t="inlineStr">
        <is>
          <t>Not Studied</t>
        </is>
      </c>
      <c r="I221" s="14" t="n"/>
    </row>
    <row r="222" ht="20" customHeight="1">
      <c r="A222" s="15" t="inlineStr">
        <is>
          <t>KID-15</t>
        </is>
      </c>
      <c r="B222" s="16" t="inlineStr"/>
      <c r="C222" s="16" t="inlineStr"/>
      <c r="D222" s="16" t="inlineStr">
        <is>
          <t>Kidney Point 15</t>
        </is>
      </c>
      <c r="E222" s="16" t="inlineStr">
        <is>
          <t>Standard Meridian Point</t>
        </is>
      </c>
      <c r="F222" s="17" t="inlineStr">
        <is>
          <t>Regulates local meridian qi and blood, alleviates local pain and stiffness</t>
        </is>
      </c>
      <c r="G222" s="17" t="inlineStr">
        <is>
          <t>Along the course of the Kidney meridian (Point 15)</t>
        </is>
      </c>
      <c r="H222" s="13" t="inlineStr">
        <is>
          <t>Not Studied</t>
        </is>
      </c>
      <c r="I222" s="14" t="n"/>
    </row>
    <row r="223" ht="20" customHeight="1">
      <c r="A223" s="10" t="inlineStr">
        <is>
          <t>KID-16</t>
        </is>
      </c>
      <c r="B223" s="11" t="inlineStr"/>
      <c r="C223" s="11" t="inlineStr"/>
      <c r="D223" s="11" t="inlineStr">
        <is>
          <t>Kidney Point 16</t>
        </is>
      </c>
      <c r="E223" s="11" t="inlineStr">
        <is>
          <t>Standard Meridian Point</t>
        </is>
      </c>
      <c r="F223" s="12" t="inlineStr">
        <is>
          <t>Regulates local meridian qi and blood, alleviates local pain and stiffness</t>
        </is>
      </c>
      <c r="G223" s="12" t="inlineStr">
        <is>
          <t>Along the course of the Kidney meridian (Point 16)</t>
        </is>
      </c>
      <c r="H223" s="13" t="inlineStr">
        <is>
          <t>Not Studied</t>
        </is>
      </c>
      <c r="I223" s="14" t="n"/>
    </row>
    <row r="224" ht="20" customHeight="1">
      <c r="A224" s="15" t="inlineStr">
        <is>
          <t>KID-17</t>
        </is>
      </c>
      <c r="B224" s="16" t="inlineStr"/>
      <c r="C224" s="16" t="inlineStr"/>
      <c r="D224" s="16" t="inlineStr">
        <is>
          <t>Kidney Point 17</t>
        </is>
      </c>
      <c r="E224" s="16" t="inlineStr">
        <is>
          <t>Standard Meridian Point</t>
        </is>
      </c>
      <c r="F224" s="17" t="inlineStr">
        <is>
          <t>Regulates local meridian qi and blood, alleviates local pain and stiffness</t>
        </is>
      </c>
      <c r="G224" s="17" t="inlineStr">
        <is>
          <t>Along the course of the Kidney meridian (Point 17)</t>
        </is>
      </c>
      <c r="H224" s="13" t="inlineStr">
        <is>
          <t>Not Studied</t>
        </is>
      </c>
      <c r="I224" s="14" t="n"/>
    </row>
    <row r="225" ht="20" customHeight="1">
      <c r="A225" s="10" t="inlineStr">
        <is>
          <t>KID-18</t>
        </is>
      </c>
      <c r="B225" s="11" t="inlineStr"/>
      <c r="C225" s="11" t="inlineStr"/>
      <c r="D225" s="11" t="inlineStr">
        <is>
          <t>Kidney Point 18</t>
        </is>
      </c>
      <c r="E225" s="11" t="inlineStr">
        <is>
          <t>Standard Meridian Point</t>
        </is>
      </c>
      <c r="F225" s="12" t="inlineStr">
        <is>
          <t>Regulates local meridian qi and blood, alleviates local pain and stiffness</t>
        </is>
      </c>
      <c r="G225" s="12" t="inlineStr">
        <is>
          <t>Along the course of the Kidney meridian (Point 18)</t>
        </is>
      </c>
      <c r="H225" s="13" t="inlineStr">
        <is>
          <t>Not Studied</t>
        </is>
      </c>
      <c r="I225" s="14" t="n"/>
    </row>
    <row r="226" ht="20" customHeight="1">
      <c r="A226" s="15" t="inlineStr">
        <is>
          <t>KID-19</t>
        </is>
      </c>
      <c r="B226" s="16" t="inlineStr"/>
      <c r="C226" s="16" t="inlineStr"/>
      <c r="D226" s="16" t="inlineStr">
        <is>
          <t>Kidney Point 19</t>
        </is>
      </c>
      <c r="E226" s="16" t="inlineStr">
        <is>
          <t>Standard Meridian Point</t>
        </is>
      </c>
      <c r="F226" s="17" t="inlineStr">
        <is>
          <t>Regulates local meridian qi and blood, alleviates local pain and stiffness</t>
        </is>
      </c>
      <c r="G226" s="17" t="inlineStr">
        <is>
          <t>Along the course of the Kidney meridian (Point 19)</t>
        </is>
      </c>
      <c r="H226" s="13" t="inlineStr">
        <is>
          <t>Not Studied</t>
        </is>
      </c>
      <c r="I226" s="14" t="n"/>
    </row>
    <row r="227" ht="20" customHeight="1">
      <c r="A227" s="10" t="inlineStr">
        <is>
          <t>KID-20</t>
        </is>
      </c>
      <c r="B227" s="11" t="inlineStr"/>
      <c r="C227" s="11" t="inlineStr"/>
      <c r="D227" s="11" t="inlineStr">
        <is>
          <t>Kidney Point 20</t>
        </is>
      </c>
      <c r="E227" s="11" t="inlineStr">
        <is>
          <t>Standard Meridian Point</t>
        </is>
      </c>
      <c r="F227" s="12" t="inlineStr">
        <is>
          <t>Regulates local meridian qi and blood, alleviates local pain and stiffness</t>
        </is>
      </c>
      <c r="G227" s="12" t="inlineStr">
        <is>
          <t>Along the course of the Kidney meridian (Point 20)</t>
        </is>
      </c>
      <c r="H227" s="13" t="inlineStr">
        <is>
          <t>Not Studied</t>
        </is>
      </c>
      <c r="I227" s="14" t="n"/>
    </row>
    <row r="228" ht="20" customHeight="1">
      <c r="A228" s="15" t="inlineStr">
        <is>
          <t>KID-21</t>
        </is>
      </c>
      <c r="B228" s="16" t="inlineStr"/>
      <c r="C228" s="16" t="inlineStr"/>
      <c r="D228" s="16" t="inlineStr">
        <is>
          <t>Kidney Point 21</t>
        </is>
      </c>
      <c r="E228" s="16" t="inlineStr">
        <is>
          <t>Standard Meridian Point</t>
        </is>
      </c>
      <c r="F228" s="17" t="inlineStr">
        <is>
          <t>Regulates local meridian qi and blood, alleviates local pain and stiffness</t>
        </is>
      </c>
      <c r="G228" s="17" t="inlineStr">
        <is>
          <t>Along the course of the Kidney meridian (Point 21)</t>
        </is>
      </c>
      <c r="H228" s="13" t="inlineStr">
        <is>
          <t>Not Studied</t>
        </is>
      </c>
      <c r="I228" s="14" t="n"/>
    </row>
    <row r="229" ht="20" customHeight="1">
      <c r="A229" s="10" t="inlineStr">
        <is>
          <t>KID-22</t>
        </is>
      </c>
      <c r="B229" s="11" t="inlineStr"/>
      <c r="C229" s="11" t="inlineStr"/>
      <c r="D229" s="11" t="inlineStr">
        <is>
          <t>Kidney Point 22</t>
        </is>
      </c>
      <c r="E229" s="11" t="inlineStr">
        <is>
          <t>Standard Meridian Point</t>
        </is>
      </c>
      <c r="F229" s="12" t="inlineStr">
        <is>
          <t>Regulates local meridian qi and blood, alleviates local pain and stiffness</t>
        </is>
      </c>
      <c r="G229" s="12" t="inlineStr">
        <is>
          <t>Along the course of the Kidney meridian (Point 22)</t>
        </is>
      </c>
      <c r="H229" s="13" t="inlineStr">
        <is>
          <t>Not Studied</t>
        </is>
      </c>
      <c r="I229" s="14" t="n"/>
    </row>
    <row r="230" ht="20" customHeight="1">
      <c r="A230" s="15" t="inlineStr">
        <is>
          <t>KID-23</t>
        </is>
      </c>
      <c r="B230" s="16" t="inlineStr"/>
      <c r="C230" s="16" t="inlineStr"/>
      <c r="D230" s="16" t="inlineStr">
        <is>
          <t>Kidney Point 23</t>
        </is>
      </c>
      <c r="E230" s="16" t="inlineStr">
        <is>
          <t>Standard Meridian Point</t>
        </is>
      </c>
      <c r="F230" s="17" t="inlineStr">
        <is>
          <t>Regulates local meridian qi and blood, alleviates local pain and stiffness</t>
        </is>
      </c>
      <c r="G230" s="17" t="inlineStr">
        <is>
          <t>Along the course of the Kidney meridian (Point 23)</t>
        </is>
      </c>
      <c r="H230" s="13" t="inlineStr">
        <is>
          <t>Not Studied</t>
        </is>
      </c>
      <c r="I230" s="14" t="n"/>
    </row>
    <row r="231" ht="20" customHeight="1">
      <c r="A231" s="10" t="inlineStr">
        <is>
          <t>KID-24</t>
        </is>
      </c>
      <c r="B231" s="11" t="inlineStr"/>
      <c r="C231" s="11" t="inlineStr"/>
      <c r="D231" s="11" t="inlineStr">
        <is>
          <t>Kidney Point 24</t>
        </is>
      </c>
      <c r="E231" s="11" t="inlineStr">
        <is>
          <t>Standard Meridian Point</t>
        </is>
      </c>
      <c r="F231" s="12" t="inlineStr">
        <is>
          <t>Regulates local meridian qi and blood, alleviates local pain and stiffness</t>
        </is>
      </c>
      <c r="G231" s="12" t="inlineStr">
        <is>
          <t>Along the course of the Kidney meridian (Point 24)</t>
        </is>
      </c>
      <c r="H231" s="13" t="inlineStr">
        <is>
          <t>Not Studied</t>
        </is>
      </c>
      <c r="I231" s="14" t="n"/>
    </row>
    <row r="232" ht="20" customHeight="1">
      <c r="A232" s="15" t="inlineStr">
        <is>
          <t>KID-25</t>
        </is>
      </c>
      <c r="B232" s="16" t="inlineStr"/>
      <c r="C232" s="16" t="inlineStr"/>
      <c r="D232" s="16" t="inlineStr">
        <is>
          <t>Kidney Point 25</t>
        </is>
      </c>
      <c r="E232" s="16" t="inlineStr">
        <is>
          <t>Standard Meridian Point</t>
        </is>
      </c>
      <c r="F232" s="17" t="inlineStr">
        <is>
          <t>Regulates local meridian qi and blood, alleviates local pain and stiffness</t>
        </is>
      </c>
      <c r="G232" s="17" t="inlineStr">
        <is>
          <t>Along the course of the Kidney meridian (Point 25)</t>
        </is>
      </c>
      <c r="H232" s="13" t="inlineStr">
        <is>
          <t>Not Studied</t>
        </is>
      </c>
      <c r="I232" s="14" t="n"/>
    </row>
    <row r="233" ht="20" customHeight="1">
      <c r="A233" s="10" t="inlineStr">
        <is>
          <t>KID-26</t>
        </is>
      </c>
      <c r="B233" s="11" t="inlineStr"/>
      <c r="C233" s="11" t="inlineStr"/>
      <c r="D233" s="11" t="inlineStr">
        <is>
          <t>Kidney Point 26</t>
        </is>
      </c>
      <c r="E233" s="11" t="inlineStr">
        <is>
          <t>Standard Meridian Point</t>
        </is>
      </c>
      <c r="F233" s="12" t="inlineStr">
        <is>
          <t>Regulates local meridian qi and blood, alleviates local pain and stiffness</t>
        </is>
      </c>
      <c r="G233" s="12" t="inlineStr">
        <is>
          <t>Along the course of the Kidney meridian (Point 26)</t>
        </is>
      </c>
      <c r="H233" s="13" t="inlineStr">
        <is>
          <t>Not Studied</t>
        </is>
      </c>
      <c r="I233" s="14" t="n"/>
    </row>
    <row r="234" ht="20" customHeight="1">
      <c r="A234" s="15" t="inlineStr">
        <is>
          <t>KID-27</t>
        </is>
      </c>
      <c r="B234" s="16" t="inlineStr">
        <is>
          <t>俞府</t>
        </is>
      </c>
      <c r="C234" s="16" t="inlineStr">
        <is>
          <t>Shūfǔ</t>
        </is>
      </c>
      <c r="D234" s="16" t="inlineStr">
        <is>
          <t>Shu Mansion</t>
        </is>
      </c>
      <c r="E234" s="16" t="inlineStr">
        <is>
          <t>Local Point</t>
        </is>
      </c>
      <c r="F234" s="17" t="inlineStr">
        <is>
          <t>Unbinds the chest, transforms phlegm, alleviates cough</t>
        </is>
      </c>
      <c r="G234" s="17" t="inlineStr">
        <is>
          <t>In depression on lower border of clavicle, 2 cun lateral to midline</t>
        </is>
      </c>
      <c r="H234" s="13" t="inlineStr">
        <is>
          <t>Not Studied</t>
        </is>
      </c>
      <c r="I234" s="14" t="n"/>
    </row>
    <row r="235" ht="22" customHeight="1">
      <c r="A235" s="9" t="inlineStr">
        <is>
          <t>PERICARDIUM MERIDIAN POINTS</t>
        </is>
      </c>
    </row>
    <row r="236" ht="20" customHeight="1">
      <c r="A236" s="15" t="inlineStr">
        <is>
          <t>PC-1</t>
        </is>
      </c>
      <c r="B236" s="16" t="inlineStr"/>
      <c r="C236" s="16" t="inlineStr"/>
      <c r="D236" s="16" t="inlineStr">
        <is>
          <t>Pericardium Point 1</t>
        </is>
      </c>
      <c r="E236" s="16" t="inlineStr">
        <is>
          <t>Standard Meridian Point</t>
        </is>
      </c>
      <c r="F236" s="17" t="inlineStr">
        <is>
          <t>Regulates local meridian qi and blood, alleviates local pain and stiffness</t>
        </is>
      </c>
      <c r="G236" s="17" t="inlineStr">
        <is>
          <t>Along the course of the Pericardium meridian (Point 1)</t>
        </is>
      </c>
      <c r="H236" s="13" t="inlineStr">
        <is>
          <t>Not Studied</t>
        </is>
      </c>
      <c r="I236" s="14" t="n"/>
    </row>
    <row r="237" ht="20" customHeight="1">
      <c r="A237" s="10" t="inlineStr">
        <is>
          <t>PC-2</t>
        </is>
      </c>
      <c r="B237" s="11" t="inlineStr"/>
      <c r="C237" s="11" t="inlineStr"/>
      <c r="D237" s="11" t="inlineStr">
        <is>
          <t>Pericardium Point 2</t>
        </is>
      </c>
      <c r="E237" s="11" t="inlineStr">
        <is>
          <t>Standard Meridian Point</t>
        </is>
      </c>
      <c r="F237" s="12" t="inlineStr">
        <is>
          <t>Regulates local meridian qi and blood, alleviates local pain and stiffness</t>
        </is>
      </c>
      <c r="G237" s="12" t="inlineStr">
        <is>
          <t>Along the course of the Pericardium meridian (Point 2)</t>
        </is>
      </c>
      <c r="H237" s="13" t="inlineStr">
        <is>
          <t>Not Studied</t>
        </is>
      </c>
      <c r="I237" s="14" t="n"/>
    </row>
    <row r="238" ht="20" customHeight="1">
      <c r="A238" s="15" t="inlineStr">
        <is>
          <t>PC-3</t>
        </is>
      </c>
      <c r="B238" s="16" t="inlineStr"/>
      <c r="C238" s="16" t="inlineStr"/>
      <c r="D238" s="16" t="inlineStr">
        <is>
          <t>Pericardium Point 3</t>
        </is>
      </c>
      <c r="E238" s="16" t="inlineStr">
        <is>
          <t>Standard Meridian Point</t>
        </is>
      </c>
      <c r="F238" s="17" t="inlineStr">
        <is>
          <t>Regulates local meridian qi and blood, alleviates local pain and stiffness</t>
        </is>
      </c>
      <c r="G238" s="17" t="inlineStr">
        <is>
          <t>Along the course of the Pericardium meridian (Point 3)</t>
        </is>
      </c>
      <c r="H238" s="13" t="inlineStr">
        <is>
          <t>Not Studied</t>
        </is>
      </c>
      <c r="I238" s="14" t="n"/>
    </row>
    <row r="239" ht="20" customHeight="1">
      <c r="A239" s="10" t="inlineStr">
        <is>
          <t>PC-4</t>
        </is>
      </c>
      <c r="B239" s="11" t="inlineStr"/>
      <c r="C239" s="11" t="inlineStr"/>
      <c r="D239" s="11" t="inlineStr">
        <is>
          <t>Pericardium Point 4</t>
        </is>
      </c>
      <c r="E239" s="11" t="inlineStr">
        <is>
          <t>Standard Meridian Point</t>
        </is>
      </c>
      <c r="F239" s="12" t="inlineStr">
        <is>
          <t>Regulates local meridian qi and blood, alleviates local pain and stiffness</t>
        </is>
      </c>
      <c r="G239" s="12" t="inlineStr">
        <is>
          <t>Along the course of the Pericardium meridian (Point 4)</t>
        </is>
      </c>
      <c r="H239" s="13" t="inlineStr">
        <is>
          <t>Not Studied</t>
        </is>
      </c>
      <c r="I239" s="14" t="n"/>
    </row>
    <row r="240" ht="20" customHeight="1">
      <c r="A240" s="15" t="inlineStr">
        <is>
          <t>PC-5</t>
        </is>
      </c>
      <c r="B240" s="16" t="inlineStr"/>
      <c r="C240" s="16" t="inlineStr"/>
      <c r="D240" s="16" t="inlineStr">
        <is>
          <t>Pericardium Point 5</t>
        </is>
      </c>
      <c r="E240" s="16" t="inlineStr">
        <is>
          <t>Standard Meridian Point</t>
        </is>
      </c>
      <c r="F240" s="17" t="inlineStr">
        <is>
          <t>Regulates local meridian qi and blood, alleviates local pain and stiffness</t>
        </is>
      </c>
      <c r="G240" s="17" t="inlineStr">
        <is>
          <t>Along the course of the Pericardium meridian (Point 5)</t>
        </is>
      </c>
      <c r="H240" s="13" t="inlineStr">
        <is>
          <t>Not Studied</t>
        </is>
      </c>
      <c r="I240" s="14" t="n"/>
    </row>
    <row r="241" ht="20" customHeight="1">
      <c r="A241" s="10" t="inlineStr">
        <is>
          <t>PC-6</t>
        </is>
      </c>
      <c r="B241" s="11" t="inlineStr">
        <is>
          <t>內關</t>
        </is>
      </c>
      <c r="C241" s="11" t="inlineStr">
        <is>
          <t>Nèiguān</t>
        </is>
      </c>
      <c r="D241" s="11" t="inlineStr">
        <is>
          <t>Inner Pass</t>
        </is>
      </c>
      <c r="E241" s="11" t="inlineStr">
        <is>
          <t>Luo-Connecting, Confluent of Yin Linking</t>
        </is>
      </c>
      <c r="F241" s="12" t="inlineStr">
        <is>
          <t>Foremost point for nausea, vomiting, chest pain, anxiety, palpitations, opens Yin Linking vessel</t>
        </is>
      </c>
      <c r="G241" s="12" t="inlineStr">
        <is>
          <t>Flexor aspect of forearm, 2 cun proximal to PC-7, between palmaris longus &amp; flexor carpi radialis</t>
        </is>
      </c>
      <c r="H241" s="13" t="inlineStr">
        <is>
          <t>Not Studied</t>
        </is>
      </c>
      <c r="I241" s="14" t="n"/>
    </row>
    <row r="242" ht="20" customHeight="1">
      <c r="A242" s="15" t="inlineStr">
        <is>
          <t>PC-7</t>
        </is>
      </c>
      <c r="B242" s="16" t="inlineStr">
        <is>
          <t>大陵</t>
        </is>
      </c>
      <c r="C242" s="16" t="inlineStr">
        <is>
          <t>Dàlíng</t>
        </is>
      </c>
      <c r="D242" s="16" t="inlineStr">
        <is>
          <t>Great Mound</t>
        </is>
      </c>
      <c r="E242" s="16" t="inlineStr">
        <is>
          <t>Shu-Stream, Yuan-Source, Earth, Ghost Point</t>
        </is>
      </c>
      <c r="F242" s="17" t="inlineStr">
        <is>
          <t>Clears heat from Pericardium/Heart, calms spirit, harmonises Stomach (foul breath), wrist pain</t>
        </is>
      </c>
      <c r="G242" s="17" t="inlineStr">
        <is>
          <t>At wrist joint, between tendons of palmaris longus and flexor carpi radialis, level with HT-7</t>
        </is>
      </c>
      <c r="H242" s="13" t="inlineStr">
        <is>
          <t>Not Studied</t>
        </is>
      </c>
      <c r="I242" s="14" t="n"/>
    </row>
    <row r="243" ht="20" customHeight="1">
      <c r="A243" s="10" t="inlineStr">
        <is>
          <t>PC-8</t>
        </is>
      </c>
      <c r="B243" s="11" t="inlineStr"/>
      <c r="C243" s="11" t="inlineStr"/>
      <c r="D243" s="11" t="inlineStr">
        <is>
          <t>Pericardium Point 8</t>
        </is>
      </c>
      <c r="E243" s="11" t="inlineStr">
        <is>
          <t>Standard Meridian Point</t>
        </is>
      </c>
      <c r="F243" s="12" t="inlineStr">
        <is>
          <t>Regulates local meridian qi and blood, alleviates local pain and stiffness</t>
        </is>
      </c>
      <c r="G243" s="12" t="inlineStr">
        <is>
          <t>Along the course of the Pericardium meridian (Point 8)</t>
        </is>
      </c>
      <c r="H243" s="13" t="inlineStr">
        <is>
          <t>Not Studied</t>
        </is>
      </c>
      <c r="I243" s="14" t="n"/>
    </row>
    <row r="244" ht="20" customHeight="1">
      <c r="A244" s="15" t="inlineStr">
        <is>
          <t>PC-9</t>
        </is>
      </c>
      <c r="B244" s="16" t="inlineStr"/>
      <c r="C244" s="16" t="inlineStr"/>
      <c r="D244" s="16" t="inlineStr">
        <is>
          <t>Pericardium Point 9</t>
        </is>
      </c>
      <c r="E244" s="16" t="inlineStr">
        <is>
          <t>Standard Meridian Point</t>
        </is>
      </c>
      <c r="F244" s="17" t="inlineStr">
        <is>
          <t>Regulates local meridian qi and blood, alleviates local pain and stiffness</t>
        </is>
      </c>
      <c r="G244" s="17" t="inlineStr">
        <is>
          <t>Along the course of the Pericardium meridian (Point 9)</t>
        </is>
      </c>
      <c r="H244" s="13" t="inlineStr">
        <is>
          <t>Not Studied</t>
        </is>
      </c>
      <c r="I244" s="14" t="n"/>
    </row>
    <row r="245" ht="22" customHeight="1">
      <c r="A245" s="9" t="inlineStr">
        <is>
          <t>TRIPLE ENERGIZER / SANJIAO MERIDIAN POINTS</t>
        </is>
      </c>
    </row>
    <row r="246" ht="20" customHeight="1">
      <c r="A246" s="15" t="inlineStr">
        <is>
          <t>TE-1</t>
        </is>
      </c>
      <c r="B246" s="16" t="inlineStr"/>
      <c r="C246" s="16" t="inlineStr"/>
      <c r="D246" s="16" t="inlineStr">
        <is>
          <t>Triple Energizer / Sanjiao Point 1</t>
        </is>
      </c>
      <c r="E246" s="16" t="inlineStr">
        <is>
          <t>Standard Meridian Point</t>
        </is>
      </c>
      <c r="F246" s="17" t="inlineStr">
        <is>
          <t>Regulates local meridian qi and blood, alleviates local pain and stiffness</t>
        </is>
      </c>
      <c r="G246" s="17" t="inlineStr">
        <is>
          <t>Along the course of the Triple Energizer / Sanjiao meridian (Point 1)</t>
        </is>
      </c>
      <c r="H246" s="13" t="inlineStr">
        <is>
          <t>Not Studied</t>
        </is>
      </c>
      <c r="I246" s="14" t="n"/>
    </row>
    <row r="247" ht="20" customHeight="1">
      <c r="A247" s="10" t="inlineStr">
        <is>
          <t>TE-2</t>
        </is>
      </c>
      <c r="B247" s="11" t="inlineStr"/>
      <c r="C247" s="11" t="inlineStr"/>
      <c r="D247" s="11" t="inlineStr">
        <is>
          <t>Triple Energizer / Sanjiao Point 2</t>
        </is>
      </c>
      <c r="E247" s="11" t="inlineStr">
        <is>
          <t>Standard Meridian Point</t>
        </is>
      </c>
      <c r="F247" s="12" t="inlineStr">
        <is>
          <t>Regulates local meridian qi and blood, alleviates local pain and stiffness</t>
        </is>
      </c>
      <c r="G247" s="12" t="inlineStr">
        <is>
          <t>Along the course of the Triple Energizer / Sanjiao meridian (Point 2)</t>
        </is>
      </c>
      <c r="H247" s="13" t="inlineStr">
        <is>
          <t>Not Studied</t>
        </is>
      </c>
      <c r="I247" s="14" t="n"/>
    </row>
    <row r="248" ht="20" customHeight="1">
      <c r="A248" s="15" t="inlineStr">
        <is>
          <t>TE-3</t>
        </is>
      </c>
      <c r="B248" s="16" t="inlineStr"/>
      <c r="C248" s="16" t="inlineStr"/>
      <c r="D248" s="16" t="inlineStr">
        <is>
          <t>Triple Energizer / Sanjiao Point 3</t>
        </is>
      </c>
      <c r="E248" s="16" t="inlineStr">
        <is>
          <t>Standard Meridian Point</t>
        </is>
      </c>
      <c r="F248" s="17" t="inlineStr">
        <is>
          <t>Regulates local meridian qi and blood, alleviates local pain and stiffness</t>
        </is>
      </c>
      <c r="G248" s="17" t="inlineStr">
        <is>
          <t>Along the course of the Triple Energizer / Sanjiao meridian (Point 3)</t>
        </is>
      </c>
      <c r="H248" s="13" t="inlineStr">
        <is>
          <t>Not Studied</t>
        </is>
      </c>
      <c r="I248" s="14" t="n"/>
    </row>
    <row r="249" ht="20" customHeight="1">
      <c r="A249" s="10" t="inlineStr">
        <is>
          <t>TE-4</t>
        </is>
      </c>
      <c r="B249" s="11" t="inlineStr"/>
      <c r="C249" s="11" t="inlineStr"/>
      <c r="D249" s="11" t="inlineStr">
        <is>
          <t>Triple Energizer / Sanjiao Point 4</t>
        </is>
      </c>
      <c r="E249" s="11" t="inlineStr">
        <is>
          <t>Standard Meridian Point</t>
        </is>
      </c>
      <c r="F249" s="12" t="inlineStr">
        <is>
          <t>Regulates local meridian qi and blood, alleviates local pain and stiffness</t>
        </is>
      </c>
      <c r="G249" s="12" t="inlineStr">
        <is>
          <t>Along the course of the Triple Energizer / Sanjiao meridian (Point 4)</t>
        </is>
      </c>
      <c r="H249" s="13" t="inlineStr">
        <is>
          <t>Not Studied</t>
        </is>
      </c>
      <c r="I249" s="14" t="n"/>
    </row>
    <row r="250" ht="20" customHeight="1">
      <c r="A250" s="15" t="inlineStr">
        <is>
          <t>TE-5</t>
        </is>
      </c>
      <c r="B250" s="16" t="inlineStr">
        <is>
          <t>外關</t>
        </is>
      </c>
      <c r="C250" s="16" t="inlineStr">
        <is>
          <t>Wàiguān</t>
        </is>
      </c>
      <c r="D250" s="16" t="inlineStr">
        <is>
          <t>Outer Pass</t>
        </is>
      </c>
      <c r="E250" s="16" t="inlineStr">
        <is>
          <t>Luo-Connecting, Confluent of Yang Linking</t>
        </is>
      </c>
      <c r="F250" s="17" t="inlineStr">
        <is>
          <t>Expels wind-heat, clears heat, resolves headaches, benefits ear (tinnitus), benefits shoulder/arm</t>
        </is>
      </c>
      <c r="G250" s="17" t="inlineStr">
        <is>
          <t>2 cun proximal to TE-4, in depression between radius and ulna, radial side of EDC tendons</t>
        </is>
      </c>
      <c r="H250" s="13" t="inlineStr">
        <is>
          <t>Not Studied</t>
        </is>
      </c>
      <c r="I250" s="14" t="n"/>
    </row>
    <row r="251" ht="20" customHeight="1">
      <c r="A251" s="10" t="inlineStr">
        <is>
          <t>TE-6</t>
        </is>
      </c>
      <c r="B251" s="11" t="inlineStr">
        <is>
          <t>支溝</t>
        </is>
      </c>
      <c r="C251" s="11" t="inlineStr">
        <is>
          <t>Zhīgōu</t>
        </is>
      </c>
      <c r="D251" s="11" t="inlineStr">
        <is>
          <t>Branch Ditch</t>
        </is>
      </c>
      <c r="E251" s="11" t="inlineStr">
        <is>
          <t>Jing-River &amp; Fire Point</t>
        </is>
      </c>
      <c r="F251" s="12" t="inlineStr">
        <is>
          <t>Spreads Liver qi, clears heat from Sanjiao, foremost point for constipation and lateral costal pain</t>
        </is>
      </c>
      <c r="G251" s="12" t="inlineStr">
        <is>
          <t>3 cun proximal to TE-4, in depression between radius and ulna, radial side of EDC muscle</t>
        </is>
      </c>
      <c r="H251" s="13" t="inlineStr">
        <is>
          <t>Not Studied</t>
        </is>
      </c>
      <c r="I251" s="14" t="n"/>
    </row>
    <row r="252" ht="20" customHeight="1">
      <c r="A252" s="15" t="inlineStr">
        <is>
          <t>TE-7</t>
        </is>
      </c>
      <c r="B252" s="16" t="inlineStr"/>
      <c r="C252" s="16" t="inlineStr"/>
      <c r="D252" s="16" t="inlineStr">
        <is>
          <t>Triple Energizer / Sanjiao Point 7</t>
        </is>
      </c>
      <c r="E252" s="16" t="inlineStr">
        <is>
          <t>Standard Meridian Point</t>
        </is>
      </c>
      <c r="F252" s="17" t="inlineStr">
        <is>
          <t>Regulates local meridian qi and blood, alleviates local pain and stiffness</t>
        </is>
      </c>
      <c r="G252" s="17" t="inlineStr">
        <is>
          <t>Along the course of the Triple Energizer / Sanjiao meridian (Point 7)</t>
        </is>
      </c>
      <c r="H252" s="13" t="inlineStr">
        <is>
          <t>Not Studied</t>
        </is>
      </c>
      <c r="I252" s="14" t="n"/>
    </row>
    <row r="253" ht="20" customHeight="1">
      <c r="A253" s="10" t="inlineStr">
        <is>
          <t>TE-8</t>
        </is>
      </c>
      <c r="B253" s="11" t="inlineStr"/>
      <c r="C253" s="11" t="inlineStr"/>
      <c r="D253" s="11" t="inlineStr">
        <is>
          <t>Triple Energizer / Sanjiao Point 8</t>
        </is>
      </c>
      <c r="E253" s="11" t="inlineStr">
        <is>
          <t>Standard Meridian Point</t>
        </is>
      </c>
      <c r="F253" s="12" t="inlineStr">
        <is>
          <t>Regulates local meridian qi and blood, alleviates local pain and stiffness</t>
        </is>
      </c>
      <c r="G253" s="12" t="inlineStr">
        <is>
          <t>Along the course of the Triple Energizer / Sanjiao meridian (Point 8)</t>
        </is>
      </c>
      <c r="H253" s="13" t="inlineStr">
        <is>
          <t>Not Studied</t>
        </is>
      </c>
      <c r="I253" s="14" t="n"/>
    </row>
    <row r="254" ht="20" customHeight="1">
      <c r="A254" s="15" t="inlineStr">
        <is>
          <t>TE-9</t>
        </is>
      </c>
      <c r="B254" s="16" t="inlineStr"/>
      <c r="C254" s="16" t="inlineStr"/>
      <c r="D254" s="16" t="inlineStr">
        <is>
          <t>Triple Energizer / Sanjiao Point 9</t>
        </is>
      </c>
      <c r="E254" s="16" t="inlineStr">
        <is>
          <t>Standard Meridian Point</t>
        </is>
      </c>
      <c r="F254" s="17" t="inlineStr">
        <is>
          <t>Regulates local meridian qi and blood, alleviates local pain and stiffness</t>
        </is>
      </c>
      <c r="G254" s="17" t="inlineStr">
        <is>
          <t>Along the course of the Triple Energizer / Sanjiao meridian (Point 9)</t>
        </is>
      </c>
      <c r="H254" s="13" t="inlineStr">
        <is>
          <t>Not Studied</t>
        </is>
      </c>
      <c r="I254" s="14" t="n"/>
    </row>
    <row r="255" ht="20" customHeight="1">
      <c r="A255" s="10" t="inlineStr">
        <is>
          <t>TE-10</t>
        </is>
      </c>
      <c r="B255" s="11" t="inlineStr"/>
      <c r="C255" s="11" t="inlineStr"/>
      <c r="D255" s="11" t="inlineStr">
        <is>
          <t>Triple Energizer / Sanjiao Point 10</t>
        </is>
      </c>
      <c r="E255" s="11" t="inlineStr">
        <is>
          <t>Standard Meridian Point</t>
        </is>
      </c>
      <c r="F255" s="12" t="inlineStr">
        <is>
          <t>Regulates local meridian qi and blood, alleviates local pain and stiffness</t>
        </is>
      </c>
      <c r="G255" s="12" t="inlineStr">
        <is>
          <t>Along the course of the Triple Energizer / Sanjiao meridian (Point 10)</t>
        </is>
      </c>
      <c r="H255" s="13" t="inlineStr">
        <is>
          <t>Not Studied</t>
        </is>
      </c>
      <c r="I255" s="14" t="n"/>
    </row>
    <row r="256" ht="20" customHeight="1">
      <c r="A256" s="15" t="inlineStr">
        <is>
          <t>TE-11</t>
        </is>
      </c>
      <c r="B256" s="16" t="inlineStr"/>
      <c r="C256" s="16" t="inlineStr"/>
      <c r="D256" s="16" t="inlineStr">
        <is>
          <t>Triple Energizer / Sanjiao Point 11</t>
        </is>
      </c>
      <c r="E256" s="16" t="inlineStr">
        <is>
          <t>Standard Meridian Point</t>
        </is>
      </c>
      <c r="F256" s="17" t="inlineStr">
        <is>
          <t>Regulates local meridian qi and blood, alleviates local pain and stiffness</t>
        </is>
      </c>
      <c r="G256" s="17" t="inlineStr">
        <is>
          <t>Along the course of the Triple Energizer / Sanjiao meridian (Point 11)</t>
        </is>
      </c>
      <c r="H256" s="13" t="inlineStr">
        <is>
          <t>Not Studied</t>
        </is>
      </c>
      <c r="I256" s="14" t="n"/>
    </row>
    <row r="257" ht="20" customHeight="1">
      <c r="A257" s="10" t="inlineStr">
        <is>
          <t>TE-12</t>
        </is>
      </c>
      <c r="B257" s="11" t="inlineStr"/>
      <c r="C257" s="11" t="inlineStr"/>
      <c r="D257" s="11" t="inlineStr">
        <is>
          <t>Triple Energizer / Sanjiao Point 12</t>
        </is>
      </c>
      <c r="E257" s="11" t="inlineStr">
        <is>
          <t>Standard Meridian Point</t>
        </is>
      </c>
      <c r="F257" s="12" t="inlineStr">
        <is>
          <t>Regulates local meridian qi and blood, alleviates local pain and stiffness</t>
        </is>
      </c>
      <c r="G257" s="12" t="inlineStr">
        <is>
          <t>Along the course of the Triple Energizer / Sanjiao meridian (Point 12)</t>
        </is>
      </c>
      <c r="H257" s="13" t="inlineStr">
        <is>
          <t>Not Studied</t>
        </is>
      </c>
      <c r="I257" s="14" t="n"/>
    </row>
    <row r="258" ht="20" customHeight="1">
      <c r="A258" s="15" t="inlineStr">
        <is>
          <t>TE-13</t>
        </is>
      </c>
      <c r="B258" s="16" t="inlineStr"/>
      <c r="C258" s="16" t="inlineStr"/>
      <c r="D258" s="16" t="inlineStr">
        <is>
          <t>Triple Energizer / Sanjiao Point 13</t>
        </is>
      </c>
      <c r="E258" s="16" t="inlineStr">
        <is>
          <t>Standard Meridian Point</t>
        </is>
      </c>
      <c r="F258" s="17" t="inlineStr">
        <is>
          <t>Regulates local meridian qi and blood, alleviates local pain and stiffness</t>
        </is>
      </c>
      <c r="G258" s="17" t="inlineStr">
        <is>
          <t>Along the course of the Triple Energizer / Sanjiao meridian (Point 13)</t>
        </is>
      </c>
      <c r="H258" s="13" t="inlineStr">
        <is>
          <t>Not Studied</t>
        </is>
      </c>
      <c r="I258" s="14" t="n"/>
    </row>
    <row r="259" ht="20" customHeight="1">
      <c r="A259" s="10" t="inlineStr">
        <is>
          <t>TE-14</t>
        </is>
      </c>
      <c r="B259" s="11" t="inlineStr"/>
      <c r="C259" s="11" t="inlineStr"/>
      <c r="D259" s="11" t="inlineStr">
        <is>
          <t>Triple Energizer / Sanjiao Point 14</t>
        </is>
      </c>
      <c r="E259" s="11" t="inlineStr">
        <is>
          <t>Standard Meridian Point</t>
        </is>
      </c>
      <c r="F259" s="12" t="inlineStr">
        <is>
          <t>Regulates local meridian qi and blood, alleviates local pain and stiffness</t>
        </is>
      </c>
      <c r="G259" s="12" t="inlineStr">
        <is>
          <t>Along the course of the Triple Energizer / Sanjiao meridian (Point 14)</t>
        </is>
      </c>
      <c r="H259" s="13" t="inlineStr">
        <is>
          <t>Not Studied</t>
        </is>
      </c>
      <c r="I259" s="14" t="n"/>
    </row>
    <row r="260" ht="20" customHeight="1">
      <c r="A260" s="15" t="inlineStr">
        <is>
          <t>TE-15</t>
        </is>
      </c>
      <c r="B260" s="16" t="inlineStr"/>
      <c r="C260" s="16" t="inlineStr"/>
      <c r="D260" s="16" t="inlineStr">
        <is>
          <t>Triple Energizer / Sanjiao Point 15</t>
        </is>
      </c>
      <c r="E260" s="16" t="inlineStr">
        <is>
          <t>Standard Meridian Point</t>
        </is>
      </c>
      <c r="F260" s="17" t="inlineStr">
        <is>
          <t>Regulates local meridian qi and blood, alleviates local pain and stiffness</t>
        </is>
      </c>
      <c r="G260" s="17" t="inlineStr">
        <is>
          <t>Along the course of the Triple Energizer / Sanjiao meridian (Point 15)</t>
        </is>
      </c>
      <c r="H260" s="13" t="inlineStr">
        <is>
          <t>Not Studied</t>
        </is>
      </c>
      <c r="I260" s="14" t="n"/>
    </row>
    <row r="261" ht="20" customHeight="1">
      <c r="A261" s="10" t="inlineStr">
        <is>
          <t>TE-16</t>
        </is>
      </c>
      <c r="B261" s="11" t="inlineStr"/>
      <c r="C261" s="11" t="inlineStr"/>
      <c r="D261" s="11" t="inlineStr">
        <is>
          <t>Triple Energizer / Sanjiao Point 16</t>
        </is>
      </c>
      <c r="E261" s="11" t="inlineStr">
        <is>
          <t>Standard Meridian Point</t>
        </is>
      </c>
      <c r="F261" s="12" t="inlineStr">
        <is>
          <t>Regulates local meridian qi and blood, alleviates local pain and stiffness</t>
        </is>
      </c>
      <c r="G261" s="12" t="inlineStr">
        <is>
          <t>Along the course of the Triple Energizer / Sanjiao meridian (Point 16)</t>
        </is>
      </c>
      <c r="H261" s="13" t="inlineStr">
        <is>
          <t>Not Studied</t>
        </is>
      </c>
      <c r="I261" s="14" t="n"/>
    </row>
    <row r="262" ht="20" customHeight="1">
      <c r="A262" s="15" t="inlineStr">
        <is>
          <t>TE-17</t>
        </is>
      </c>
      <c r="B262" s="16" t="inlineStr"/>
      <c r="C262" s="16" t="inlineStr"/>
      <c r="D262" s="16" t="inlineStr">
        <is>
          <t>Triple Energizer / Sanjiao Point 17</t>
        </is>
      </c>
      <c r="E262" s="16" t="inlineStr">
        <is>
          <t>Standard Meridian Point</t>
        </is>
      </c>
      <c r="F262" s="17" t="inlineStr">
        <is>
          <t>Regulates local meridian qi and blood, alleviates local pain and stiffness</t>
        </is>
      </c>
      <c r="G262" s="17" t="inlineStr">
        <is>
          <t>Along the course of the Triple Energizer / Sanjiao meridian (Point 17)</t>
        </is>
      </c>
      <c r="H262" s="13" t="inlineStr">
        <is>
          <t>Not Studied</t>
        </is>
      </c>
      <c r="I262" s="14" t="n"/>
    </row>
    <row r="263" ht="20" customHeight="1">
      <c r="A263" s="10" t="inlineStr">
        <is>
          <t>TE-18</t>
        </is>
      </c>
      <c r="B263" s="11" t="inlineStr"/>
      <c r="C263" s="11" t="inlineStr"/>
      <c r="D263" s="11" t="inlineStr">
        <is>
          <t>Triple Energizer / Sanjiao Point 18</t>
        </is>
      </c>
      <c r="E263" s="11" t="inlineStr">
        <is>
          <t>Standard Meridian Point</t>
        </is>
      </c>
      <c r="F263" s="12" t="inlineStr">
        <is>
          <t>Regulates local meridian qi and blood, alleviates local pain and stiffness</t>
        </is>
      </c>
      <c r="G263" s="12" t="inlineStr">
        <is>
          <t>Along the course of the Triple Energizer / Sanjiao meridian (Point 18)</t>
        </is>
      </c>
      <c r="H263" s="13" t="inlineStr">
        <is>
          <t>Not Studied</t>
        </is>
      </c>
      <c r="I263" s="14" t="n"/>
    </row>
    <row r="264" ht="20" customHeight="1">
      <c r="A264" s="15" t="inlineStr">
        <is>
          <t>TE-19</t>
        </is>
      </c>
      <c r="B264" s="16" t="inlineStr"/>
      <c r="C264" s="16" t="inlineStr"/>
      <c r="D264" s="16" t="inlineStr">
        <is>
          <t>Triple Energizer / Sanjiao Point 19</t>
        </is>
      </c>
      <c r="E264" s="16" t="inlineStr">
        <is>
          <t>Standard Meridian Point</t>
        </is>
      </c>
      <c r="F264" s="17" t="inlineStr">
        <is>
          <t>Regulates local meridian qi and blood, alleviates local pain and stiffness</t>
        </is>
      </c>
      <c r="G264" s="17" t="inlineStr">
        <is>
          <t>Along the course of the Triple Energizer / Sanjiao meridian (Point 19)</t>
        </is>
      </c>
      <c r="H264" s="13" t="inlineStr">
        <is>
          <t>Not Studied</t>
        </is>
      </c>
      <c r="I264" s="14" t="n"/>
    </row>
    <row r="265" ht="20" customHeight="1">
      <c r="A265" s="10" t="inlineStr">
        <is>
          <t>TE-20</t>
        </is>
      </c>
      <c r="B265" s="11" t="inlineStr"/>
      <c r="C265" s="11" t="inlineStr"/>
      <c r="D265" s="11" t="inlineStr">
        <is>
          <t>Triple Energizer / Sanjiao Point 20</t>
        </is>
      </c>
      <c r="E265" s="11" t="inlineStr">
        <is>
          <t>Standard Meridian Point</t>
        </is>
      </c>
      <c r="F265" s="12" t="inlineStr">
        <is>
          <t>Regulates local meridian qi and blood, alleviates local pain and stiffness</t>
        </is>
      </c>
      <c r="G265" s="12" t="inlineStr">
        <is>
          <t>Along the course of the Triple Energizer / Sanjiao meridian (Point 20)</t>
        </is>
      </c>
      <c r="H265" s="13" t="inlineStr">
        <is>
          <t>Not Studied</t>
        </is>
      </c>
      <c r="I265" s="14" t="n"/>
    </row>
    <row r="266" ht="20" customHeight="1">
      <c r="A266" s="15" t="inlineStr">
        <is>
          <t>TE-21</t>
        </is>
      </c>
      <c r="B266" s="16" t="inlineStr"/>
      <c r="C266" s="16" t="inlineStr"/>
      <c r="D266" s="16" t="inlineStr">
        <is>
          <t>Triple Energizer / Sanjiao Point 21</t>
        </is>
      </c>
      <c r="E266" s="16" t="inlineStr">
        <is>
          <t>Standard Meridian Point</t>
        </is>
      </c>
      <c r="F266" s="17" t="inlineStr">
        <is>
          <t>Regulates local meridian qi and blood, alleviates local pain and stiffness</t>
        </is>
      </c>
      <c r="G266" s="17" t="inlineStr">
        <is>
          <t>Along the course of the Triple Energizer / Sanjiao meridian (Point 21)</t>
        </is>
      </c>
      <c r="H266" s="13" t="inlineStr">
        <is>
          <t>Not Studied</t>
        </is>
      </c>
      <c r="I266" s="14" t="n"/>
    </row>
    <row r="267" ht="20" customHeight="1">
      <c r="A267" s="10" t="inlineStr">
        <is>
          <t>TE-22</t>
        </is>
      </c>
      <c r="B267" s="11" t="inlineStr"/>
      <c r="C267" s="11" t="inlineStr"/>
      <c r="D267" s="11" t="inlineStr">
        <is>
          <t>Triple Energizer / Sanjiao Point 22</t>
        </is>
      </c>
      <c r="E267" s="11" t="inlineStr">
        <is>
          <t>Standard Meridian Point</t>
        </is>
      </c>
      <c r="F267" s="12" t="inlineStr">
        <is>
          <t>Regulates local meridian qi and blood, alleviates local pain and stiffness</t>
        </is>
      </c>
      <c r="G267" s="12" t="inlineStr">
        <is>
          <t>Along the course of the Triple Energizer / Sanjiao meridian (Point 22)</t>
        </is>
      </c>
      <c r="H267" s="13" t="inlineStr">
        <is>
          <t>Not Studied</t>
        </is>
      </c>
      <c r="I267" s="14" t="n"/>
    </row>
    <row r="268" ht="20" customHeight="1">
      <c r="A268" s="15" t="inlineStr">
        <is>
          <t>TE-23</t>
        </is>
      </c>
      <c r="B268" s="16" t="inlineStr"/>
      <c r="C268" s="16" t="inlineStr"/>
      <c r="D268" s="16" t="inlineStr">
        <is>
          <t>Triple Energizer / Sanjiao Point 23</t>
        </is>
      </c>
      <c r="E268" s="16" t="inlineStr">
        <is>
          <t>Standard Meridian Point</t>
        </is>
      </c>
      <c r="F268" s="17" t="inlineStr">
        <is>
          <t>Regulates local meridian qi and blood, alleviates local pain and stiffness</t>
        </is>
      </c>
      <c r="G268" s="17" t="inlineStr">
        <is>
          <t>Along the course of the Triple Energizer / Sanjiao meridian (Point 23)</t>
        </is>
      </c>
      <c r="H268" s="13" t="inlineStr">
        <is>
          <t>Not Studied</t>
        </is>
      </c>
      <c r="I268" s="14" t="n"/>
    </row>
    <row r="269" ht="22" customHeight="1">
      <c r="A269" s="9" t="inlineStr">
        <is>
          <t>GALLBLADDER MERIDIAN POINTS</t>
        </is>
      </c>
    </row>
    <row r="270" ht="20" customHeight="1">
      <c r="A270" s="15" t="inlineStr">
        <is>
          <t>GB-1</t>
        </is>
      </c>
      <c r="B270" s="16" t="inlineStr"/>
      <c r="C270" s="16" t="inlineStr"/>
      <c r="D270" s="16" t="inlineStr">
        <is>
          <t>Gallbladder Point 1</t>
        </is>
      </c>
      <c r="E270" s="16" t="inlineStr">
        <is>
          <t>Standard Meridian Point</t>
        </is>
      </c>
      <c r="F270" s="17" t="inlineStr">
        <is>
          <t>Regulates local meridian qi and blood, alleviates local pain and stiffness</t>
        </is>
      </c>
      <c r="G270" s="17" t="inlineStr">
        <is>
          <t>Along the course of the Gallbladder meridian (Point 1)</t>
        </is>
      </c>
      <c r="H270" s="13" t="inlineStr">
        <is>
          <t>Not Studied</t>
        </is>
      </c>
      <c r="I270" s="14" t="n"/>
    </row>
    <row r="271" ht="20" customHeight="1">
      <c r="A271" s="10" t="inlineStr">
        <is>
          <t>GB-2</t>
        </is>
      </c>
      <c r="B271" s="11" t="inlineStr"/>
      <c r="C271" s="11" t="inlineStr"/>
      <c r="D271" s="11" t="inlineStr">
        <is>
          <t>Gallbladder Point 2</t>
        </is>
      </c>
      <c r="E271" s="11" t="inlineStr">
        <is>
          <t>Standard Meridian Point</t>
        </is>
      </c>
      <c r="F271" s="12" t="inlineStr">
        <is>
          <t>Regulates local meridian qi and blood, alleviates local pain and stiffness</t>
        </is>
      </c>
      <c r="G271" s="12" t="inlineStr">
        <is>
          <t>Along the course of the Gallbladder meridian (Point 2)</t>
        </is>
      </c>
      <c r="H271" s="13" t="inlineStr">
        <is>
          <t>Not Studied</t>
        </is>
      </c>
      <c r="I271" s="14" t="n"/>
    </row>
    <row r="272" ht="20" customHeight="1">
      <c r="A272" s="15" t="inlineStr">
        <is>
          <t>GB-3</t>
        </is>
      </c>
      <c r="B272" s="16" t="inlineStr"/>
      <c r="C272" s="16" t="inlineStr"/>
      <c r="D272" s="16" t="inlineStr">
        <is>
          <t>Gallbladder Point 3</t>
        </is>
      </c>
      <c r="E272" s="16" t="inlineStr">
        <is>
          <t>Standard Meridian Point</t>
        </is>
      </c>
      <c r="F272" s="17" t="inlineStr">
        <is>
          <t>Regulates local meridian qi and blood, alleviates local pain and stiffness</t>
        </is>
      </c>
      <c r="G272" s="17" t="inlineStr">
        <is>
          <t>Along the course of the Gallbladder meridian (Point 3)</t>
        </is>
      </c>
      <c r="H272" s="13" t="inlineStr">
        <is>
          <t>Not Studied</t>
        </is>
      </c>
      <c r="I272" s="14" t="n"/>
    </row>
    <row r="273" ht="20" customHeight="1">
      <c r="A273" s="10" t="inlineStr">
        <is>
          <t>GB-4</t>
        </is>
      </c>
      <c r="B273" s="11" t="inlineStr"/>
      <c r="C273" s="11" t="inlineStr"/>
      <c r="D273" s="11" t="inlineStr">
        <is>
          <t>Gallbladder Point 4</t>
        </is>
      </c>
      <c r="E273" s="11" t="inlineStr">
        <is>
          <t>Standard Meridian Point</t>
        </is>
      </c>
      <c r="F273" s="12" t="inlineStr">
        <is>
          <t>Regulates local meridian qi and blood, alleviates local pain and stiffness</t>
        </is>
      </c>
      <c r="G273" s="12" t="inlineStr">
        <is>
          <t>Along the course of the Gallbladder meridian (Point 4)</t>
        </is>
      </c>
      <c r="H273" s="13" t="inlineStr">
        <is>
          <t>Not Studied</t>
        </is>
      </c>
      <c r="I273" s="14" t="n"/>
    </row>
    <row r="274" ht="20" customHeight="1">
      <c r="A274" s="15" t="inlineStr">
        <is>
          <t>GB-5</t>
        </is>
      </c>
      <c r="B274" s="16" t="inlineStr"/>
      <c r="C274" s="16" t="inlineStr"/>
      <c r="D274" s="16" t="inlineStr">
        <is>
          <t>Gallbladder Point 5</t>
        </is>
      </c>
      <c r="E274" s="16" t="inlineStr">
        <is>
          <t>Standard Meridian Point</t>
        </is>
      </c>
      <c r="F274" s="17" t="inlineStr">
        <is>
          <t>Regulates local meridian qi and blood, alleviates local pain and stiffness</t>
        </is>
      </c>
      <c r="G274" s="17" t="inlineStr">
        <is>
          <t>Along the course of the Gallbladder meridian (Point 5)</t>
        </is>
      </c>
      <c r="H274" s="13" t="inlineStr">
        <is>
          <t>Not Studied</t>
        </is>
      </c>
      <c r="I274" s="14" t="n"/>
    </row>
    <row r="275" ht="20" customHeight="1">
      <c r="A275" s="10" t="inlineStr">
        <is>
          <t>GB-6</t>
        </is>
      </c>
      <c r="B275" s="11" t="inlineStr"/>
      <c r="C275" s="11" t="inlineStr"/>
      <c r="D275" s="11" t="inlineStr">
        <is>
          <t>Gallbladder Point 6</t>
        </is>
      </c>
      <c r="E275" s="11" t="inlineStr">
        <is>
          <t>Standard Meridian Point</t>
        </is>
      </c>
      <c r="F275" s="12" t="inlineStr">
        <is>
          <t>Regulates local meridian qi and blood, alleviates local pain and stiffness</t>
        </is>
      </c>
      <c r="G275" s="12" t="inlineStr">
        <is>
          <t>Along the course of the Gallbladder meridian (Point 6)</t>
        </is>
      </c>
      <c r="H275" s="13" t="inlineStr">
        <is>
          <t>Not Studied</t>
        </is>
      </c>
      <c r="I275" s="14" t="n"/>
    </row>
    <row r="276" ht="20" customHeight="1">
      <c r="A276" s="15" t="inlineStr">
        <is>
          <t>GB-7</t>
        </is>
      </c>
      <c r="B276" s="16" t="inlineStr"/>
      <c r="C276" s="16" t="inlineStr"/>
      <c r="D276" s="16" t="inlineStr">
        <is>
          <t>Gallbladder Point 7</t>
        </is>
      </c>
      <c r="E276" s="16" t="inlineStr">
        <is>
          <t>Standard Meridian Point</t>
        </is>
      </c>
      <c r="F276" s="17" t="inlineStr">
        <is>
          <t>Regulates local meridian qi and blood, alleviates local pain and stiffness</t>
        </is>
      </c>
      <c r="G276" s="17" t="inlineStr">
        <is>
          <t>Along the course of the Gallbladder meridian (Point 7)</t>
        </is>
      </c>
      <c r="H276" s="13" t="inlineStr">
        <is>
          <t>Not Studied</t>
        </is>
      </c>
      <c r="I276" s="14" t="n"/>
    </row>
    <row r="277" ht="20" customHeight="1">
      <c r="A277" s="10" t="inlineStr">
        <is>
          <t>GB-8</t>
        </is>
      </c>
      <c r="B277" s="11" t="inlineStr"/>
      <c r="C277" s="11" t="inlineStr"/>
      <c r="D277" s="11" t="inlineStr">
        <is>
          <t>Gallbladder Point 8</t>
        </is>
      </c>
      <c r="E277" s="11" t="inlineStr">
        <is>
          <t>Standard Meridian Point</t>
        </is>
      </c>
      <c r="F277" s="12" t="inlineStr">
        <is>
          <t>Regulates local meridian qi and blood, alleviates local pain and stiffness</t>
        </is>
      </c>
      <c r="G277" s="12" t="inlineStr">
        <is>
          <t>Along the course of the Gallbladder meridian (Point 8)</t>
        </is>
      </c>
      <c r="H277" s="13" t="inlineStr">
        <is>
          <t>Not Studied</t>
        </is>
      </c>
      <c r="I277" s="14" t="n"/>
    </row>
    <row r="278" ht="20" customHeight="1">
      <c r="A278" s="15" t="inlineStr">
        <is>
          <t>GB-9</t>
        </is>
      </c>
      <c r="B278" s="16" t="inlineStr"/>
      <c r="C278" s="16" t="inlineStr"/>
      <c r="D278" s="16" t="inlineStr">
        <is>
          <t>Gallbladder Point 9</t>
        </is>
      </c>
      <c r="E278" s="16" t="inlineStr">
        <is>
          <t>Standard Meridian Point</t>
        </is>
      </c>
      <c r="F278" s="17" t="inlineStr">
        <is>
          <t>Regulates local meridian qi and blood, alleviates local pain and stiffness</t>
        </is>
      </c>
      <c r="G278" s="17" t="inlineStr">
        <is>
          <t>Along the course of the Gallbladder meridian (Point 9)</t>
        </is>
      </c>
      <c r="H278" s="13" t="inlineStr">
        <is>
          <t>Not Studied</t>
        </is>
      </c>
      <c r="I278" s="14" t="n"/>
    </row>
    <row r="279" ht="20" customHeight="1">
      <c r="A279" s="10" t="inlineStr">
        <is>
          <t>GB-10</t>
        </is>
      </c>
      <c r="B279" s="11" t="inlineStr"/>
      <c r="C279" s="11" t="inlineStr"/>
      <c r="D279" s="11" t="inlineStr">
        <is>
          <t>Gallbladder Point 10</t>
        </is>
      </c>
      <c r="E279" s="11" t="inlineStr">
        <is>
          <t>Standard Meridian Point</t>
        </is>
      </c>
      <c r="F279" s="12" t="inlineStr">
        <is>
          <t>Regulates local meridian qi and blood, alleviates local pain and stiffness</t>
        </is>
      </c>
      <c r="G279" s="12" t="inlineStr">
        <is>
          <t>Along the course of the Gallbladder meridian (Point 10)</t>
        </is>
      </c>
      <c r="H279" s="13" t="inlineStr">
        <is>
          <t>Not Studied</t>
        </is>
      </c>
      <c r="I279" s="14" t="n"/>
    </row>
    <row r="280" ht="20" customHeight="1">
      <c r="A280" s="15" t="inlineStr">
        <is>
          <t>GB-11</t>
        </is>
      </c>
      <c r="B280" s="16" t="inlineStr"/>
      <c r="C280" s="16" t="inlineStr"/>
      <c r="D280" s="16" t="inlineStr">
        <is>
          <t>Gallbladder Point 11</t>
        </is>
      </c>
      <c r="E280" s="16" t="inlineStr">
        <is>
          <t>Standard Meridian Point</t>
        </is>
      </c>
      <c r="F280" s="17" t="inlineStr">
        <is>
          <t>Regulates local meridian qi and blood, alleviates local pain and stiffness</t>
        </is>
      </c>
      <c r="G280" s="17" t="inlineStr">
        <is>
          <t>Along the course of the Gallbladder meridian (Point 11)</t>
        </is>
      </c>
      <c r="H280" s="13" t="inlineStr">
        <is>
          <t>Not Studied</t>
        </is>
      </c>
      <c r="I280" s="14" t="n"/>
    </row>
    <row r="281" ht="20" customHeight="1">
      <c r="A281" s="10" t="inlineStr">
        <is>
          <t>GB-12</t>
        </is>
      </c>
      <c r="B281" s="11" t="inlineStr"/>
      <c r="C281" s="11" t="inlineStr"/>
      <c r="D281" s="11" t="inlineStr">
        <is>
          <t>Gallbladder Point 12</t>
        </is>
      </c>
      <c r="E281" s="11" t="inlineStr">
        <is>
          <t>Standard Meridian Point</t>
        </is>
      </c>
      <c r="F281" s="12" t="inlineStr">
        <is>
          <t>Regulates local meridian qi and blood, alleviates local pain and stiffness</t>
        </is>
      </c>
      <c r="G281" s="12" t="inlineStr">
        <is>
          <t>Along the course of the Gallbladder meridian (Point 12)</t>
        </is>
      </c>
      <c r="H281" s="13" t="inlineStr">
        <is>
          <t>Not Studied</t>
        </is>
      </c>
      <c r="I281" s="14" t="n"/>
    </row>
    <row r="282" ht="20" customHeight="1">
      <c r="A282" s="15" t="inlineStr">
        <is>
          <t>GB-13</t>
        </is>
      </c>
      <c r="B282" s="16" t="inlineStr"/>
      <c r="C282" s="16" t="inlineStr"/>
      <c r="D282" s="16" t="inlineStr">
        <is>
          <t>Gallbladder Point 13</t>
        </is>
      </c>
      <c r="E282" s="16" t="inlineStr">
        <is>
          <t>Standard Meridian Point</t>
        </is>
      </c>
      <c r="F282" s="17" t="inlineStr">
        <is>
          <t>Regulates local meridian qi and blood, alleviates local pain and stiffness</t>
        </is>
      </c>
      <c r="G282" s="17" t="inlineStr">
        <is>
          <t>Along the course of the Gallbladder meridian (Point 13)</t>
        </is>
      </c>
      <c r="H282" s="13" t="inlineStr">
        <is>
          <t>Not Studied</t>
        </is>
      </c>
      <c r="I282" s="14" t="n"/>
    </row>
    <row r="283" ht="20" customHeight="1">
      <c r="A283" s="10" t="inlineStr">
        <is>
          <t>GB-14</t>
        </is>
      </c>
      <c r="B283" s="11" t="inlineStr"/>
      <c r="C283" s="11" t="inlineStr"/>
      <c r="D283" s="11" t="inlineStr">
        <is>
          <t>Gallbladder Point 14</t>
        </is>
      </c>
      <c r="E283" s="11" t="inlineStr">
        <is>
          <t>Standard Meridian Point</t>
        </is>
      </c>
      <c r="F283" s="12" t="inlineStr">
        <is>
          <t>Regulates local meridian qi and blood, alleviates local pain and stiffness</t>
        </is>
      </c>
      <c r="G283" s="12" t="inlineStr">
        <is>
          <t>Along the course of the Gallbladder meridian (Point 14)</t>
        </is>
      </c>
      <c r="H283" s="13" t="inlineStr">
        <is>
          <t>Not Studied</t>
        </is>
      </c>
      <c r="I283" s="14" t="n"/>
    </row>
    <row r="284" ht="20" customHeight="1">
      <c r="A284" s="15" t="inlineStr">
        <is>
          <t>GB-15</t>
        </is>
      </c>
      <c r="B284" s="16" t="inlineStr"/>
      <c r="C284" s="16" t="inlineStr"/>
      <c r="D284" s="16" t="inlineStr">
        <is>
          <t>Gallbladder Point 15</t>
        </is>
      </c>
      <c r="E284" s="16" t="inlineStr">
        <is>
          <t>Standard Meridian Point</t>
        </is>
      </c>
      <c r="F284" s="17" t="inlineStr">
        <is>
          <t>Regulates local meridian qi and blood, alleviates local pain and stiffness</t>
        </is>
      </c>
      <c r="G284" s="17" t="inlineStr">
        <is>
          <t>Along the course of the Gallbladder meridian (Point 15)</t>
        </is>
      </c>
      <c r="H284" s="13" t="inlineStr">
        <is>
          <t>Not Studied</t>
        </is>
      </c>
      <c r="I284" s="14" t="n"/>
    </row>
    <row r="285" ht="20" customHeight="1">
      <c r="A285" s="10" t="inlineStr">
        <is>
          <t>GB-16</t>
        </is>
      </c>
      <c r="B285" s="11" t="inlineStr"/>
      <c r="C285" s="11" t="inlineStr"/>
      <c r="D285" s="11" t="inlineStr">
        <is>
          <t>Gallbladder Point 16</t>
        </is>
      </c>
      <c r="E285" s="11" t="inlineStr">
        <is>
          <t>Standard Meridian Point</t>
        </is>
      </c>
      <c r="F285" s="12" t="inlineStr">
        <is>
          <t>Regulates local meridian qi and blood, alleviates local pain and stiffness</t>
        </is>
      </c>
      <c r="G285" s="12" t="inlineStr">
        <is>
          <t>Along the course of the Gallbladder meridian (Point 16)</t>
        </is>
      </c>
      <c r="H285" s="13" t="inlineStr">
        <is>
          <t>Not Studied</t>
        </is>
      </c>
      <c r="I285" s="14" t="n"/>
    </row>
    <row r="286" ht="20" customHeight="1">
      <c r="A286" s="15" t="inlineStr">
        <is>
          <t>GB-17</t>
        </is>
      </c>
      <c r="B286" s="16" t="inlineStr"/>
      <c r="C286" s="16" t="inlineStr"/>
      <c r="D286" s="16" t="inlineStr">
        <is>
          <t>Gallbladder Point 17</t>
        </is>
      </c>
      <c r="E286" s="16" t="inlineStr">
        <is>
          <t>Standard Meridian Point</t>
        </is>
      </c>
      <c r="F286" s="17" t="inlineStr">
        <is>
          <t>Regulates local meridian qi and blood, alleviates local pain and stiffness</t>
        </is>
      </c>
      <c r="G286" s="17" t="inlineStr">
        <is>
          <t>Along the course of the Gallbladder meridian (Point 17)</t>
        </is>
      </c>
      <c r="H286" s="13" t="inlineStr">
        <is>
          <t>Not Studied</t>
        </is>
      </c>
      <c r="I286" s="14" t="n"/>
    </row>
    <row r="287" ht="20" customHeight="1">
      <c r="A287" s="10" t="inlineStr">
        <is>
          <t>GB-18</t>
        </is>
      </c>
      <c r="B287" s="11" t="inlineStr"/>
      <c r="C287" s="11" t="inlineStr"/>
      <c r="D287" s="11" t="inlineStr">
        <is>
          <t>Gallbladder Point 18</t>
        </is>
      </c>
      <c r="E287" s="11" t="inlineStr">
        <is>
          <t>Standard Meridian Point</t>
        </is>
      </c>
      <c r="F287" s="12" t="inlineStr">
        <is>
          <t>Regulates local meridian qi and blood, alleviates local pain and stiffness</t>
        </is>
      </c>
      <c r="G287" s="12" t="inlineStr">
        <is>
          <t>Along the course of the Gallbladder meridian (Point 18)</t>
        </is>
      </c>
      <c r="H287" s="13" t="inlineStr">
        <is>
          <t>Not Studied</t>
        </is>
      </c>
      <c r="I287" s="14" t="n"/>
    </row>
    <row r="288" ht="20" customHeight="1">
      <c r="A288" s="15" t="inlineStr">
        <is>
          <t>GB-19</t>
        </is>
      </c>
      <c r="B288" s="16" t="inlineStr"/>
      <c r="C288" s="16" t="inlineStr"/>
      <c r="D288" s="16" t="inlineStr">
        <is>
          <t>Gallbladder Point 19</t>
        </is>
      </c>
      <c r="E288" s="16" t="inlineStr">
        <is>
          <t>Standard Meridian Point</t>
        </is>
      </c>
      <c r="F288" s="17" t="inlineStr">
        <is>
          <t>Regulates local meridian qi and blood, alleviates local pain and stiffness</t>
        </is>
      </c>
      <c r="G288" s="17" t="inlineStr">
        <is>
          <t>Along the course of the Gallbladder meridian (Point 19)</t>
        </is>
      </c>
      <c r="H288" s="13" t="inlineStr">
        <is>
          <t>Not Studied</t>
        </is>
      </c>
      <c r="I288" s="14" t="n"/>
    </row>
    <row r="289" ht="20" customHeight="1">
      <c r="A289" s="10" t="inlineStr">
        <is>
          <t>GB-20</t>
        </is>
      </c>
      <c r="B289" s="11" t="inlineStr">
        <is>
          <t>風池</t>
        </is>
      </c>
      <c r="C289" s="11" t="inlineStr">
        <is>
          <t>Fēngchǐ</t>
        </is>
      </c>
      <c r="D289" s="11" t="inlineStr">
        <is>
          <t>Wind Pool</t>
        </is>
      </c>
      <c r="E289" s="11" t="inlineStr">
        <is>
          <t>Meeting of GB, SJ, Yang Motility, Yang Linking</t>
        </is>
      </c>
      <c r="F289" s="12" t="inlineStr">
        <is>
          <t>Foremost point to eliminate wind (exterior/interior), benefits head and eyes, neck pain/stiffness</t>
        </is>
      </c>
      <c r="G289" s="12" t="inlineStr">
        <is>
          <t>Below occiput, in depression between SCM and trapezius muscles</t>
        </is>
      </c>
      <c r="H289" s="13" t="inlineStr">
        <is>
          <t>Not Studied</t>
        </is>
      </c>
      <c r="I289" s="14" t="n"/>
    </row>
    <row r="290" ht="20" customHeight="1">
      <c r="A290" s="15" t="inlineStr">
        <is>
          <t>GB-21</t>
        </is>
      </c>
      <c r="B290" s="16" t="inlineStr"/>
      <c r="C290" s="16" t="inlineStr"/>
      <c r="D290" s="16" t="inlineStr">
        <is>
          <t>Gallbladder Point 21</t>
        </is>
      </c>
      <c r="E290" s="16" t="inlineStr">
        <is>
          <t>Standard Meridian Point</t>
        </is>
      </c>
      <c r="F290" s="17" t="inlineStr">
        <is>
          <t>Regulates local meridian qi and blood, alleviates local pain and stiffness</t>
        </is>
      </c>
      <c r="G290" s="17" t="inlineStr">
        <is>
          <t>Along the course of the Gallbladder meridian (Point 21)</t>
        </is>
      </c>
      <c r="H290" s="13" t="inlineStr">
        <is>
          <t>Not Studied</t>
        </is>
      </c>
      <c r="I290" s="14" t="n"/>
    </row>
    <row r="291" ht="20" customHeight="1">
      <c r="A291" s="10" t="inlineStr">
        <is>
          <t>GB-22</t>
        </is>
      </c>
      <c r="B291" s="11" t="inlineStr"/>
      <c r="C291" s="11" t="inlineStr"/>
      <c r="D291" s="11" t="inlineStr">
        <is>
          <t>Gallbladder Point 22</t>
        </is>
      </c>
      <c r="E291" s="11" t="inlineStr">
        <is>
          <t>Standard Meridian Point</t>
        </is>
      </c>
      <c r="F291" s="12" t="inlineStr">
        <is>
          <t>Regulates local meridian qi and blood, alleviates local pain and stiffness</t>
        </is>
      </c>
      <c r="G291" s="12" t="inlineStr">
        <is>
          <t>Along the course of the Gallbladder meridian (Point 22)</t>
        </is>
      </c>
      <c r="H291" s="13" t="inlineStr">
        <is>
          <t>Not Studied</t>
        </is>
      </c>
      <c r="I291" s="14" t="n"/>
    </row>
    <row r="292" ht="20" customHeight="1">
      <c r="A292" s="15" t="inlineStr">
        <is>
          <t>GB-23</t>
        </is>
      </c>
      <c r="B292" s="16" t="inlineStr"/>
      <c r="C292" s="16" t="inlineStr"/>
      <c r="D292" s="16" t="inlineStr">
        <is>
          <t>Gallbladder Point 23</t>
        </is>
      </c>
      <c r="E292" s="16" t="inlineStr">
        <is>
          <t>Standard Meridian Point</t>
        </is>
      </c>
      <c r="F292" s="17" t="inlineStr">
        <is>
          <t>Regulates local meridian qi and blood, alleviates local pain and stiffness</t>
        </is>
      </c>
      <c r="G292" s="17" t="inlineStr">
        <is>
          <t>Along the course of the Gallbladder meridian (Point 23)</t>
        </is>
      </c>
      <c r="H292" s="13" t="inlineStr">
        <is>
          <t>Not Studied</t>
        </is>
      </c>
      <c r="I292" s="14" t="n"/>
    </row>
    <row r="293" ht="20" customHeight="1">
      <c r="A293" s="10" t="inlineStr">
        <is>
          <t>GB-24</t>
        </is>
      </c>
      <c r="B293" s="11" t="inlineStr"/>
      <c r="C293" s="11" t="inlineStr"/>
      <c r="D293" s="11" t="inlineStr">
        <is>
          <t>Gallbladder Point 24</t>
        </is>
      </c>
      <c r="E293" s="11" t="inlineStr">
        <is>
          <t>Standard Meridian Point</t>
        </is>
      </c>
      <c r="F293" s="12" t="inlineStr">
        <is>
          <t>Regulates local meridian qi and blood, alleviates local pain and stiffness</t>
        </is>
      </c>
      <c r="G293" s="12" t="inlineStr">
        <is>
          <t>Along the course of the Gallbladder meridian (Point 24)</t>
        </is>
      </c>
      <c r="H293" s="13" t="inlineStr">
        <is>
          <t>Not Studied</t>
        </is>
      </c>
      <c r="I293" s="14" t="n"/>
    </row>
    <row r="294" ht="20" customHeight="1">
      <c r="A294" s="15" t="inlineStr">
        <is>
          <t>GB-25</t>
        </is>
      </c>
      <c r="B294" s="16" t="inlineStr"/>
      <c r="C294" s="16" t="inlineStr"/>
      <c r="D294" s="16" t="inlineStr">
        <is>
          <t>Gallbladder Point 25</t>
        </is>
      </c>
      <c r="E294" s="16" t="inlineStr">
        <is>
          <t>Standard Meridian Point</t>
        </is>
      </c>
      <c r="F294" s="17" t="inlineStr">
        <is>
          <t>Regulates local meridian qi and blood, alleviates local pain and stiffness</t>
        </is>
      </c>
      <c r="G294" s="17" t="inlineStr">
        <is>
          <t>Along the course of the Gallbladder meridian (Point 25)</t>
        </is>
      </c>
      <c r="H294" s="13" t="inlineStr">
        <is>
          <t>Not Studied</t>
        </is>
      </c>
      <c r="I294" s="14" t="n"/>
    </row>
    <row r="295" ht="20" customHeight="1">
      <c r="A295" s="10" t="inlineStr">
        <is>
          <t>GB-26</t>
        </is>
      </c>
      <c r="B295" s="11" t="inlineStr"/>
      <c r="C295" s="11" t="inlineStr"/>
      <c r="D295" s="11" t="inlineStr">
        <is>
          <t>Gallbladder Point 26</t>
        </is>
      </c>
      <c r="E295" s="11" t="inlineStr">
        <is>
          <t>Standard Meridian Point</t>
        </is>
      </c>
      <c r="F295" s="12" t="inlineStr">
        <is>
          <t>Regulates local meridian qi and blood, alleviates local pain and stiffness</t>
        </is>
      </c>
      <c r="G295" s="12" t="inlineStr">
        <is>
          <t>Along the course of the Gallbladder meridian (Point 26)</t>
        </is>
      </c>
      <c r="H295" s="13" t="inlineStr">
        <is>
          <t>Not Studied</t>
        </is>
      </c>
      <c r="I295" s="14" t="n"/>
    </row>
    <row r="296" ht="20" customHeight="1">
      <c r="A296" s="15" t="inlineStr">
        <is>
          <t>GB-27</t>
        </is>
      </c>
      <c r="B296" s="16" t="inlineStr"/>
      <c r="C296" s="16" t="inlineStr"/>
      <c r="D296" s="16" t="inlineStr">
        <is>
          <t>Gallbladder Point 27</t>
        </is>
      </c>
      <c r="E296" s="16" t="inlineStr">
        <is>
          <t>Standard Meridian Point</t>
        </is>
      </c>
      <c r="F296" s="17" t="inlineStr">
        <is>
          <t>Regulates local meridian qi and blood, alleviates local pain and stiffness</t>
        </is>
      </c>
      <c r="G296" s="17" t="inlineStr">
        <is>
          <t>Along the course of the Gallbladder meridian (Point 27)</t>
        </is>
      </c>
      <c r="H296" s="13" t="inlineStr">
        <is>
          <t>Not Studied</t>
        </is>
      </c>
      <c r="I296" s="14" t="n"/>
    </row>
    <row r="297" ht="20" customHeight="1">
      <c r="A297" s="10" t="inlineStr">
        <is>
          <t>GB-28</t>
        </is>
      </c>
      <c r="B297" s="11" t="inlineStr"/>
      <c r="C297" s="11" t="inlineStr"/>
      <c r="D297" s="11" t="inlineStr">
        <is>
          <t>Gallbladder Point 28</t>
        </is>
      </c>
      <c r="E297" s="11" t="inlineStr">
        <is>
          <t>Standard Meridian Point</t>
        </is>
      </c>
      <c r="F297" s="12" t="inlineStr">
        <is>
          <t>Regulates local meridian qi and blood, alleviates local pain and stiffness</t>
        </is>
      </c>
      <c r="G297" s="12" t="inlineStr">
        <is>
          <t>Along the course of the Gallbladder meridian (Point 28)</t>
        </is>
      </c>
      <c r="H297" s="13" t="inlineStr">
        <is>
          <t>Not Studied</t>
        </is>
      </c>
      <c r="I297" s="14" t="n"/>
    </row>
    <row r="298" ht="20" customHeight="1">
      <c r="A298" s="15" t="inlineStr">
        <is>
          <t>GB-29</t>
        </is>
      </c>
      <c r="B298" s="16" t="inlineStr"/>
      <c r="C298" s="16" t="inlineStr"/>
      <c r="D298" s="16" t="inlineStr">
        <is>
          <t>Gallbladder Point 29</t>
        </is>
      </c>
      <c r="E298" s="16" t="inlineStr">
        <is>
          <t>Standard Meridian Point</t>
        </is>
      </c>
      <c r="F298" s="17" t="inlineStr">
        <is>
          <t>Regulates local meridian qi and blood, alleviates local pain and stiffness</t>
        </is>
      </c>
      <c r="G298" s="17" t="inlineStr">
        <is>
          <t>Along the course of the Gallbladder meridian (Point 29)</t>
        </is>
      </c>
      <c r="H298" s="13" t="inlineStr">
        <is>
          <t>Not Studied</t>
        </is>
      </c>
      <c r="I298" s="14" t="n"/>
    </row>
    <row r="299" ht="20" customHeight="1">
      <c r="A299" s="10" t="inlineStr">
        <is>
          <t>GB-30</t>
        </is>
      </c>
      <c r="B299" s="11" t="inlineStr">
        <is>
          <t>環跳</t>
        </is>
      </c>
      <c r="C299" s="11" t="inlineStr">
        <is>
          <t>Huántiao</t>
        </is>
      </c>
      <c r="D299" s="11" t="inlineStr">
        <is>
          <t>Jumping Circle</t>
        </is>
      </c>
      <c r="E299" s="11" t="inlineStr">
        <is>
          <t>Meeting of GB and Bladder channels, Heavenly Star</t>
        </is>
      </c>
      <c r="F299" s="12" t="inlineStr">
        <is>
          <t>Foremost point for sciatica, hip joint disorders, paralysis/pain of leg, dispels wind-damp</t>
        </is>
      </c>
      <c r="G299" s="12" t="inlineStr">
        <is>
          <t>Lateral hip, one third of distance between prominence of greater trochanter and sacral hiatus</t>
        </is>
      </c>
      <c r="H299" s="13" t="inlineStr">
        <is>
          <t>Not Studied</t>
        </is>
      </c>
      <c r="I299" s="14" t="n"/>
    </row>
    <row r="300" ht="20" customHeight="1">
      <c r="A300" s="15" t="inlineStr">
        <is>
          <t>GB-31</t>
        </is>
      </c>
      <c r="B300" s="16" t="inlineStr"/>
      <c r="C300" s="16" t="inlineStr"/>
      <c r="D300" s="16" t="inlineStr">
        <is>
          <t>Gallbladder Point 31</t>
        </is>
      </c>
      <c r="E300" s="16" t="inlineStr">
        <is>
          <t>Standard Meridian Point</t>
        </is>
      </c>
      <c r="F300" s="17" t="inlineStr">
        <is>
          <t>Regulates local meridian qi and blood, alleviates local pain and stiffness</t>
        </is>
      </c>
      <c r="G300" s="17" t="inlineStr">
        <is>
          <t>Along the course of the Gallbladder meridian (Point 31)</t>
        </is>
      </c>
      <c r="H300" s="13" t="inlineStr">
        <is>
          <t>Not Studied</t>
        </is>
      </c>
      <c r="I300" s="14" t="n"/>
    </row>
    <row r="301" ht="20" customHeight="1">
      <c r="A301" s="10" t="inlineStr">
        <is>
          <t>GB-32</t>
        </is>
      </c>
      <c r="B301" s="11" t="inlineStr"/>
      <c r="C301" s="11" t="inlineStr"/>
      <c r="D301" s="11" t="inlineStr">
        <is>
          <t>Gallbladder Point 32</t>
        </is>
      </c>
      <c r="E301" s="11" t="inlineStr">
        <is>
          <t>Standard Meridian Point</t>
        </is>
      </c>
      <c r="F301" s="12" t="inlineStr">
        <is>
          <t>Regulates local meridian qi and blood, alleviates local pain and stiffness</t>
        </is>
      </c>
      <c r="G301" s="12" t="inlineStr">
        <is>
          <t>Along the course of the Gallbladder meridian (Point 32)</t>
        </is>
      </c>
      <c r="H301" s="13" t="inlineStr">
        <is>
          <t>Not Studied</t>
        </is>
      </c>
      <c r="I301" s="14" t="n"/>
    </row>
    <row r="302" ht="20" customHeight="1">
      <c r="A302" s="15" t="inlineStr">
        <is>
          <t>GB-33</t>
        </is>
      </c>
      <c r="B302" s="16" t="inlineStr"/>
      <c r="C302" s="16" t="inlineStr"/>
      <c r="D302" s="16" t="inlineStr">
        <is>
          <t>Gallbladder Point 33</t>
        </is>
      </c>
      <c r="E302" s="16" t="inlineStr">
        <is>
          <t>Standard Meridian Point</t>
        </is>
      </c>
      <c r="F302" s="17" t="inlineStr">
        <is>
          <t>Regulates local meridian qi and blood, alleviates local pain and stiffness</t>
        </is>
      </c>
      <c r="G302" s="17" t="inlineStr">
        <is>
          <t>Along the course of the Gallbladder meridian (Point 33)</t>
        </is>
      </c>
      <c r="H302" s="13" t="inlineStr">
        <is>
          <t>Not Studied</t>
        </is>
      </c>
      <c r="I302" s="14" t="n"/>
    </row>
    <row r="303" ht="20" customHeight="1">
      <c r="A303" s="10" t="inlineStr">
        <is>
          <t>GB-34</t>
        </is>
      </c>
      <c r="B303" s="11" t="inlineStr">
        <is>
          <t>陽陵泉</t>
        </is>
      </c>
      <c r="C303" s="11" t="inlineStr">
        <is>
          <t>Yánglíngquán</t>
        </is>
      </c>
      <c r="D303" s="11" t="inlineStr">
        <is>
          <t>Yang Mound Spring</t>
        </is>
      </c>
      <c r="E303" s="11" t="inlineStr">
        <is>
          <t>He-Sea, Earth, Hui-Meeting of Sinews, Heavenly Star</t>
        </is>
      </c>
      <c r="F303" s="12" t="inlineStr">
        <is>
          <t>Hui-meeting point for sinews, spreads Liver qi, clears Gall Bladder damp-heat, lateral costal pain</t>
        </is>
      </c>
      <c r="G303" s="12" t="inlineStr">
        <is>
          <t>Medial lower leg, in depression 1 cun anterior and inferior to head of fibula</t>
        </is>
      </c>
      <c r="H303" s="13" t="inlineStr">
        <is>
          <t>Not Studied</t>
        </is>
      </c>
      <c r="I303" s="14" t="n"/>
    </row>
    <row r="304" ht="20" customHeight="1">
      <c r="A304" s="15" t="inlineStr">
        <is>
          <t>GB-35</t>
        </is>
      </c>
      <c r="B304" s="16" t="inlineStr"/>
      <c r="C304" s="16" t="inlineStr"/>
      <c r="D304" s="16" t="inlineStr">
        <is>
          <t>Gallbladder Point 35</t>
        </is>
      </c>
      <c r="E304" s="16" t="inlineStr">
        <is>
          <t>Standard Meridian Point</t>
        </is>
      </c>
      <c r="F304" s="17" t="inlineStr">
        <is>
          <t>Regulates local meridian qi and blood, alleviates local pain and stiffness</t>
        </is>
      </c>
      <c r="G304" s="17" t="inlineStr">
        <is>
          <t>Along the course of the Gallbladder meridian (Point 35)</t>
        </is>
      </c>
      <c r="H304" s="13" t="inlineStr">
        <is>
          <t>Not Studied</t>
        </is>
      </c>
      <c r="I304" s="14" t="n"/>
    </row>
    <row r="305" ht="20" customHeight="1">
      <c r="A305" s="10" t="inlineStr">
        <is>
          <t>GB-36</t>
        </is>
      </c>
      <c r="B305" s="11" t="inlineStr"/>
      <c r="C305" s="11" t="inlineStr"/>
      <c r="D305" s="11" t="inlineStr">
        <is>
          <t>Gallbladder Point 36</t>
        </is>
      </c>
      <c r="E305" s="11" t="inlineStr">
        <is>
          <t>Standard Meridian Point</t>
        </is>
      </c>
      <c r="F305" s="12" t="inlineStr">
        <is>
          <t>Regulates local meridian qi and blood, alleviates local pain and stiffness</t>
        </is>
      </c>
      <c r="G305" s="12" t="inlineStr">
        <is>
          <t>Along the course of the Gallbladder meridian (Point 36)</t>
        </is>
      </c>
      <c r="H305" s="13" t="inlineStr">
        <is>
          <t>Not Studied</t>
        </is>
      </c>
      <c r="I305" s="14" t="n"/>
    </row>
    <row r="306" ht="20" customHeight="1">
      <c r="A306" s="15" t="inlineStr">
        <is>
          <t>GB-37</t>
        </is>
      </c>
      <c r="B306" s="16" t="inlineStr"/>
      <c r="C306" s="16" t="inlineStr"/>
      <c r="D306" s="16" t="inlineStr">
        <is>
          <t>Gallbladder Point 37</t>
        </is>
      </c>
      <c r="E306" s="16" t="inlineStr">
        <is>
          <t>Standard Meridian Point</t>
        </is>
      </c>
      <c r="F306" s="17" t="inlineStr">
        <is>
          <t>Regulates local meridian qi and blood, alleviates local pain and stiffness</t>
        </is>
      </c>
      <c r="G306" s="17" t="inlineStr">
        <is>
          <t>Along the course of the Gallbladder meridian (Point 37)</t>
        </is>
      </c>
      <c r="H306" s="13" t="inlineStr">
        <is>
          <t>Not Studied</t>
        </is>
      </c>
      <c r="I306" s="14" t="n"/>
    </row>
    <row r="307" ht="20" customHeight="1">
      <c r="A307" s="10" t="inlineStr">
        <is>
          <t>GB-38</t>
        </is>
      </c>
      <c r="B307" s="11" t="inlineStr"/>
      <c r="C307" s="11" t="inlineStr"/>
      <c r="D307" s="11" t="inlineStr">
        <is>
          <t>Gallbladder Point 38</t>
        </is>
      </c>
      <c r="E307" s="11" t="inlineStr">
        <is>
          <t>Standard Meridian Point</t>
        </is>
      </c>
      <c r="F307" s="12" t="inlineStr">
        <is>
          <t>Regulates local meridian qi and blood, alleviates local pain and stiffness</t>
        </is>
      </c>
      <c r="G307" s="12" t="inlineStr">
        <is>
          <t>Along the course of the Gallbladder meridian (Point 38)</t>
        </is>
      </c>
      <c r="H307" s="13" t="inlineStr">
        <is>
          <t>Not Studied</t>
        </is>
      </c>
      <c r="I307" s="14" t="n"/>
    </row>
    <row r="308" ht="20" customHeight="1">
      <c r="A308" s="15" t="inlineStr">
        <is>
          <t>GB-39</t>
        </is>
      </c>
      <c r="B308" s="16" t="inlineStr">
        <is>
          <t>懸鐘</t>
        </is>
      </c>
      <c r="C308" s="16" t="inlineStr">
        <is>
          <t>Xuánzhōng</t>
        </is>
      </c>
      <c r="D308" s="16" t="inlineStr">
        <is>
          <t>Suspended Bell</t>
        </is>
      </c>
      <c r="E308" s="16" t="inlineStr">
        <is>
          <t>Hui-Meeting of Marrow</t>
        </is>
      </c>
      <c r="F308" s="17" t="inlineStr">
        <is>
          <t>Hui-meeting point for marrow, benefits sinews/bones, treats stiff neck, prevents windstroke, ankle sprain</t>
        </is>
      </c>
      <c r="G308" s="17" t="inlineStr">
        <is>
          <t>Above ankle, 3 cun superior to lateral malleolus, between posterior fibula and peroneal tendons</t>
        </is>
      </c>
      <c r="H308" s="13" t="inlineStr">
        <is>
          <t>Not Studied</t>
        </is>
      </c>
      <c r="I308" s="14" t="n"/>
    </row>
    <row r="309" ht="20" customHeight="1">
      <c r="A309" s="10" t="inlineStr">
        <is>
          <t>GB-40</t>
        </is>
      </c>
      <c r="B309" s="11" t="inlineStr"/>
      <c r="C309" s="11" t="inlineStr"/>
      <c r="D309" s="11" t="inlineStr">
        <is>
          <t>Gallbladder Point 40</t>
        </is>
      </c>
      <c r="E309" s="11" t="inlineStr">
        <is>
          <t>Standard Meridian Point</t>
        </is>
      </c>
      <c r="F309" s="12" t="inlineStr">
        <is>
          <t>Regulates local meridian qi and blood, alleviates local pain and stiffness</t>
        </is>
      </c>
      <c r="G309" s="12" t="inlineStr">
        <is>
          <t>Along the course of the Gallbladder meridian (Point 40)</t>
        </is>
      </c>
      <c r="H309" s="13" t="inlineStr">
        <is>
          <t>Not Studied</t>
        </is>
      </c>
      <c r="I309" s="14" t="n"/>
    </row>
    <row r="310" ht="20" customHeight="1">
      <c r="A310" s="15" t="inlineStr">
        <is>
          <t>GB-41</t>
        </is>
      </c>
      <c r="B310" s="16" t="inlineStr">
        <is>
          <t>足臨泣</t>
        </is>
      </c>
      <c r="C310" s="16" t="inlineStr">
        <is>
          <t>Zúlínqì</t>
        </is>
      </c>
      <c r="D310" s="16" t="inlineStr">
        <is>
          <t>Foot Governor of Tears</t>
        </is>
      </c>
      <c r="E310" s="16" t="inlineStr">
        <is>
          <t>Shu-Stream, Wood, Confluent of Girdling vessel, Heavenly Star</t>
        </is>
      </c>
      <c r="F310" s="17" t="inlineStr">
        <is>
          <t>Spreads Liver qi, benefits breasts (pain, abscess, stop lactation), chest/rib pain, outer canthus pain</t>
        </is>
      </c>
      <c r="G310" s="17" t="inlineStr">
        <is>
          <t>Dorsum of foot, in depression distal to junction of 4th/5th metatarsals, lateral side of tendon</t>
        </is>
      </c>
      <c r="H310" s="13" t="inlineStr">
        <is>
          <t>Not Studied</t>
        </is>
      </c>
      <c r="I310" s="14" t="n"/>
    </row>
    <row r="311" ht="20" customHeight="1">
      <c r="A311" s="10" t="inlineStr">
        <is>
          <t>GB-42</t>
        </is>
      </c>
      <c r="B311" s="11" t="inlineStr"/>
      <c r="C311" s="11" t="inlineStr"/>
      <c r="D311" s="11" t="inlineStr">
        <is>
          <t>Gallbladder Point 42</t>
        </is>
      </c>
      <c r="E311" s="11" t="inlineStr">
        <is>
          <t>Standard Meridian Point</t>
        </is>
      </c>
      <c r="F311" s="12" t="inlineStr">
        <is>
          <t>Regulates local meridian qi and blood, alleviates local pain and stiffness</t>
        </is>
      </c>
      <c r="G311" s="12" t="inlineStr">
        <is>
          <t>Along the course of the Gallbladder meridian (Point 42)</t>
        </is>
      </c>
      <c r="H311" s="13" t="inlineStr">
        <is>
          <t>Not Studied</t>
        </is>
      </c>
      <c r="I311" s="14" t="n"/>
    </row>
    <row r="312" ht="20" customHeight="1">
      <c r="A312" s="15" t="inlineStr">
        <is>
          <t>GB-43</t>
        </is>
      </c>
      <c r="B312" s="16" t="inlineStr"/>
      <c r="C312" s="16" t="inlineStr"/>
      <c r="D312" s="16" t="inlineStr">
        <is>
          <t>Gallbladder Point 43</t>
        </is>
      </c>
      <c r="E312" s="16" t="inlineStr">
        <is>
          <t>Standard Meridian Point</t>
        </is>
      </c>
      <c r="F312" s="17" t="inlineStr">
        <is>
          <t>Regulates local meridian qi and blood, alleviates local pain and stiffness</t>
        </is>
      </c>
      <c r="G312" s="17" t="inlineStr">
        <is>
          <t>Along the course of the Gallbladder meridian (Point 43)</t>
        </is>
      </c>
      <c r="H312" s="13" t="inlineStr">
        <is>
          <t>Not Studied</t>
        </is>
      </c>
      <c r="I312" s="14" t="n"/>
    </row>
    <row r="313" ht="20" customHeight="1">
      <c r="A313" s="10" t="inlineStr">
        <is>
          <t>GB-44</t>
        </is>
      </c>
      <c r="B313" s="11" t="inlineStr"/>
      <c r="C313" s="11" t="inlineStr"/>
      <c r="D313" s="11" t="inlineStr">
        <is>
          <t>Gallbladder Point 44</t>
        </is>
      </c>
      <c r="E313" s="11" t="inlineStr">
        <is>
          <t>Standard Meridian Point</t>
        </is>
      </c>
      <c r="F313" s="12" t="inlineStr">
        <is>
          <t>Regulates local meridian qi and blood, alleviates local pain and stiffness</t>
        </is>
      </c>
      <c r="G313" s="12" t="inlineStr">
        <is>
          <t>Along the course of the Gallbladder meridian (Point 44)</t>
        </is>
      </c>
      <c r="H313" s="13" t="inlineStr">
        <is>
          <t>Not Studied</t>
        </is>
      </c>
      <c r="I313" s="14" t="n"/>
    </row>
    <row r="314" ht="22" customHeight="1">
      <c r="A314" s="9" t="inlineStr">
        <is>
          <t>LIVER MERIDIAN POINTS</t>
        </is>
      </c>
    </row>
    <row r="315" ht="20" customHeight="1">
      <c r="A315" s="10" t="inlineStr">
        <is>
          <t>LV-1</t>
        </is>
      </c>
      <c r="B315" s="11" t="inlineStr"/>
      <c r="C315" s="11" t="inlineStr"/>
      <c r="D315" s="11" t="inlineStr">
        <is>
          <t>Liver Point 1</t>
        </is>
      </c>
      <c r="E315" s="11" t="inlineStr">
        <is>
          <t>Standard Meridian Point</t>
        </is>
      </c>
      <c r="F315" s="12" t="inlineStr">
        <is>
          <t>Regulates local meridian qi and blood, alleviates local pain and stiffness</t>
        </is>
      </c>
      <c r="G315" s="12" t="inlineStr">
        <is>
          <t>Along the course of the Liver meridian (Point 1)</t>
        </is>
      </c>
      <c r="H315" s="13" t="inlineStr">
        <is>
          <t>Not Studied</t>
        </is>
      </c>
      <c r="I315" s="14" t="n"/>
    </row>
    <row r="316" ht="20" customHeight="1">
      <c r="A316" s="15" t="inlineStr">
        <is>
          <t>LV-2</t>
        </is>
      </c>
      <c r="B316" s="16" t="inlineStr">
        <is>
          <t>動間</t>
        </is>
      </c>
      <c r="C316" s="16" t="inlineStr">
        <is>
          <t>Xíngjiān</t>
        </is>
      </c>
      <c r="D316" s="16" t="inlineStr">
        <is>
          <t>Moving Between</t>
        </is>
      </c>
      <c r="E316" s="16" t="inlineStr">
        <is>
          <t>Ying-Spring &amp; Fire Point</t>
        </is>
      </c>
      <c r="F316" s="17" t="inlineStr">
        <is>
          <t xml:space="preserve"> Vigorously clears Liver fire, pacifies Liver wind, cools blood, treats headache, red eyes, anger</t>
        </is>
      </c>
      <c r="G316" s="17" t="inlineStr">
        <is>
          <t>Dorsum of foot, between 1st and 2nd toes, 0.5 cun proximal to margin of web</t>
        </is>
      </c>
      <c r="H316" s="13" t="inlineStr">
        <is>
          <t>Not Studied</t>
        </is>
      </c>
      <c r="I316" s="14" t="n"/>
    </row>
    <row r="317" ht="20" customHeight="1">
      <c r="A317" s="10" t="inlineStr">
        <is>
          <t>LV-3</t>
        </is>
      </c>
      <c r="B317" s="11" t="inlineStr">
        <is>
          <t>太衝</t>
        </is>
      </c>
      <c r="C317" s="11" t="inlineStr">
        <is>
          <t>Tàichōng</t>
        </is>
      </c>
      <c r="D317" s="11" t="inlineStr">
        <is>
          <t>Great Rushing</t>
        </is>
      </c>
      <c r="E317" s="11" t="inlineStr">
        <is>
          <t>Shu-Stream, Yuan-Source, Earth, Heavenly Star</t>
        </is>
      </c>
      <c r="F317" s="12" t="inlineStr">
        <is>
          <t>Most important point to spread Liver qi, activates qi/blood, regulates menstruation, treats headache</t>
        </is>
      </c>
      <c r="G317" s="12" t="inlineStr">
        <is>
          <t>Dorsum of foot, in hollow distal to junction of 1st and 2nd metatarsal bones</t>
        </is>
      </c>
      <c r="H317" s="13" t="inlineStr">
        <is>
          <t>Not Studied</t>
        </is>
      </c>
      <c r="I317" s="14" t="n"/>
    </row>
    <row r="318" ht="20" customHeight="1">
      <c r="A318" s="15" t="inlineStr">
        <is>
          <t>LV-4</t>
        </is>
      </c>
      <c r="B318" s="16" t="inlineStr"/>
      <c r="C318" s="16" t="inlineStr"/>
      <c r="D318" s="16" t="inlineStr">
        <is>
          <t>Liver Point 4</t>
        </is>
      </c>
      <c r="E318" s="16" t="inlineStr">
        <is>
          <t>Standard Meridian Point</t>
        </is>
      </c>
      <c r="F318" s="17" t="inlineStr">
        <is>
          <t>Regulates local meridian qi and blood, alleviates local pain and stiffness</t>
        </is>
      </c>
      <c r="G318" s="17" t="inlineStr">
        <is>
          <t>Along the course of the Liver meridian (Point 4)</t>
        </is>
      </c>
      <c r="H318" s="13" t="inlineStr">
        <is>
          <t>Not Studied</t>
        </is>
      </c>
      <c r="I318" s="14" t="n"/>
    </row>
    <row r="319" ht="20" customHeight="1">
      <c r="A319" s="10" t="inlineStr">
        <is>
          <t>LV-5</t>
        </is>
      </c>
      <c r="B319" s="11" t="inlineStr"/>
      <c r="C319" s="11" t="inlineStr"/>
      <c r="D319" s="11" t="inlineStr">
        <is>
          <t>Liver Point 5</t>
        </is>
      </c>
      <c r="E319" s="11" t="inlineStr">
        <is>
          <t>Standard Meridian Point</t>
        </is>
      </c>
      <c r="F319" s="12" t="inlineStr">
        <is>
          <t>Regulates local meridian qi and blood, alleviates local pain and stiffness</t>
        </is>
      </c>
      <c r="G319" s="12" t="inlineStr">
        <is>
          <t>Along the course of the Liver meridian (Point 5)</t>
        </is>
      </c>
      <c r="H319" s="13" t="inlineStr">
        <is>
          <t>Not Studied</t>
        </is>
      </c>
      <c r="I319" s="14" t="n"/>
    </row>
    <row r="320" ht="20" customHeight="1">
      <c r="A320" s="15" t="inlineStr">
        <is>
          <t>LV-6</t>
        </is>
      </c>
      <c r="B320" s="16" t="inlineStr"/>
      <c r="C320" s="16" t="inlineStr"/>
      <c r="D320" s="16" t="inlineStr">
        <is>
          <t>Liver Point 6</t>
        </is>
      </c>
      <c r="E320" s="16" t="inlineStr">
        <is>
          <t>Standard Meridian Point</t>
        </is>
      </c>
      <c r="F320" s="17" t="inlineStr">
        <is>
          <t>Regulates local meridian qi and blood, alleviates local pain and stiffness</t>
        </is>
      </c>
      <c r="G320" s="17" t="inlineStr">
        <is>
          <t>Along the course of the Liver meridian (Point 6)</t>
        </is>
      </c>
      <c r="H320" s="13" t="inlineStr">
        <is>
          <t>Not Studied</t>
        </is>
      </c>
      <c r="I320" s="14" t="n"/>
    </row>
    <row r="321" ht="20" customHeight="1">
      <c r="A321" s="10" t="inlineStr">
        <is>
          <t>LV-7</t>
        </is>
      </c>
      <c r="B321" s="11" t="inlineStr"/>
      <c r="C321" s="11" t="inlineStr"/>
      <c r="D321" s="11" t="inlineStr">
        <is>
          <t>Liver Point 7</t>
        </is>
      </c>
      <c r="E321" s="11" t="inlineStr">
        <is>
          <t>Standard Meridian Point</t>
        </is>
      </c>
      <c r="F321" s="12" t="inlineStr">
        <is>
          <t>Regulates local meridian qi and blood, alleviates local pain and stiffness</t>
        </is>
      </c>
      <c r="G321" s="12" t="inlineStr">
        <is>
          <t>Along the course of the Liver meridian (Point 7)</t>
        </is>
      </c>
      <c r="H321" s="13" t="inlineStr">
        <is>
          <t>Not Studied</t>
        </is>
      </c>
      <c r="I321" s="14" t="n"/>
    </row>
    <row r="322" ht="20" customHeight="1">
      <c r="A322" s="15" t="inlineStr">
        <is>
          <t>LV-8</t>
        </is>
      </c>
      <c r="B322" s="16" t="inlineStr">
        <is>
          <t>曲泉</t>
        </is>
      </c>
      <c r="C322" s="16" t="inlineStr">
        <is>
          <t>Qūquán</t>
        </is>
      </c>
      <c r="D322" s="16" t="inlineStr">
        <is>
          <t>Spring at the Crook</t>
        </is>
      </c>
      <c r="E322" s="16" t="inlineStr">
        <is>
          <t>He-Sea &amp; Water Point</t>
        </is>
      </c>
      <c r="F322" s="17" t="inlineStr">
        <is>
          <t>Clears lower jiao damp-heat (genital itching/pain, dysuria), nourishes Liver blood/yin, knee pain</t>
        </is>
      </c>
      <c r="G322" s="17" t="inlineStr">
        <is>
          <t>Just superior to medial end of popliteal crease, in depression anterior to semitendinosus tendon</t>
        </is>
      </c>
      <c r="H322" s="13" t="inlineStr">
        <is>
          <t>Not Studied</t>
        </is>
      </c>
      <c r="I322" s="14" t="n"/>
    </row>
    <row r="323" ht="20" customHeight="1">
      <c r="A323" s="10" t="inlineStr">
        <is>
          <t>LV-9</t>
        </is>
      </c>
      <c r="B323" s="11" t="inlineStr"/>
      <c r="C323" s="11" t="inlineStr"/>
      <c r="D323" s="11" t="inlineStr">
        <is>
          <t>Liver Point 9</t>
        </is>
      </c>
      <c r="E323" s="11" t="inlineStr">
        <is>
          <t>Standard Meridian Point</t>
        </is>
      </c>
      <c r="F323" s="12" t="inlineStr">
        <is>
          <t>Regulates local meridian qi and blood, alleviates local pain and stiffness</t>
        </is>
      </c>
      <c r="G323" s="12" t="inlineStr">
        <is>
          <t>Along the course of the Liver meridian (Point 9)</t>
        </is>
      </c>
      <c r="H323" s="13" t="inlineStr">
        <is>
          <t>Not Studied</t>
        </is>
      </c>
      <c r="I323" s="14" t="n"/>
    </row>
    <row r="324" ht="20" customHeight="1">
      <c r="A324" s="15" t="inlineStr">
        <is>
          <t>LV-10</t>
        </is>
      </c>
      <c r="B324" s="16" t="inlineStr"/>
      <c r="C324" s="16" t="inlineStr"/>
      <c r="D324" s="16" t="inlineStr">
        <is>
          <t>Liver Point 10</t>
        </is>
      </c>
      <c r="E324" s="16" t="inlineStr">
        <is>
          <t>Standard Meridian Point</t>
        </is>
      </c>
      <c r="F324" s="17" t="inlineStr">
        <is>
          <t>Regulates local meridian qi and blood, alleviates local pain and stiffness</t>
        </is>
      </c>
      <c r="G324" s="17" t="inlineStr">
        <is>
          <t>Along the course of the Liver meridian (Point 10)</t>
        </is>
      </c>
      <c r="H324" s="13" t="inlineStr">
        <is>
          <t>Not Studied</t>
        </is>
      </c>
      <c r="I324" s="14" t="n"/>
    </row>
    <row r="325" ht="20" customHeight="1">
      <c r="A325" s="10" t="inlineStr">
        <is>
          <t>LV-11</t>
        </is>
      </c>
      <c r="B325" s="11" t="inlineStr"/>
      <c r="C325" s="11" t="inlineStr"/>
      <c r="D325" s="11" t="inlineStr">
        <is>
          <t>Liver Point 11</t>
        </is>
      </c>
      <c r="E325" s="11" t="inlineStr">
        <is>
          <t>Standard Meridian Point</t>
        </is>
      </c>
      <c r="F325" s="12" t="inlineStr">
        <is>
          <t>Regulates local meridian qi and blood, alleviates local pain and stiffness</t>
        </is>
      </c>
      <c r="G325" s="12" t="inlineStr">
        <is>
          <t>Along the course of the Liver meridian (Point 11)</t>
        </is>
      </c>
      <c r="H325" s="13" t="inlineStr">
        <is>
          <t>Not Studied</t>
        </is>
      </c>
      <c r="I325" s="14" t="n"/>
    </row>
    <row r="326" ht="20" customHeight="1">
      <c r="A326" s="15" t="inlineStr">
        <is>
          <t>LV-12</t>
        </is>
      </c>
      <c r="B326" s="16" t="inlineStr"/>
      <c r="C326" s="16" t="inlineStr"/>
      <c r="D326" s="16" t="inlineStr">
        <is>
          <t>Liver Point 12</t>
        </is>
      </c>
      <c r="E326" s="16" t="inlineStr">
        <is>
          <t>Standard Meridian Point</t>
        </is>
      </c>
      <c r="F326" s="17" t="inlineStr">
        <is>
          <t>Regulates local meridian qi and blood, alleviates local pain and stiffness</t>
        </is>
      </c>
      <c r="G326" s="17" t="inlineStr">
        <is>
          <t>Along the course of the Liver meridian (Point 12)</t>
        </is>
      </c>
      <c r="H326" s="13" t="inlineStr">
        <is>
          <t>Not Studied</t>
        </is>
      </c>
      <c r="I326" s="14" t="n"/>
    </row>
    <row r="327" ht="20" customHeight="1">
      <c r="A327" s="10" t="inlineStr">
        <is>
          <t>LV-13</t>
        </is>
      </c>
      <c r="B327" s="11" t="inlineStr"/>
      <c r="C327" s="11" t="inlineStr"/>
      <c r="D327" s="11" t="inlineStr">
        <is>
          <t>Liver Point 13</t>
        </is>
      </c>
      <c r="E327" s="11" t="inlineStr">
        <is>
          <t>Standard Meridian Point</t>
        </is>
      </c>
      <c r="F327" s="12" t="inlineStr">
        <is>
          <t>Regulates local meridian qi and blood, alleviates local pain and stiffness</t>
        </is>
      </c>
      <c r="G327" s="12" t="inlineStr">
        <is>
          <t>Along the course of the Liver meridian (Point 13)</t>
        </is>
      </c>
      <c r="H327" s="13" t="inlineStr">
        <is>
          <t>Not Studied</t>
        </is>
      </c>
      <c r="I327" s="14" t="n"/>
    </row>
    <row r="328" ht="20" customHeight="1">
      <c r="A328" s="15" t="inlineStr">
        <is>
          <t>LV-14</t>
        </is>
      </c>
      <c r="B328" s="16" t="inlineStr"/>
      <c r="C328" s="16" t="inlineStr"/>
      <c r="D328" s="16" t="inlineStr">
        <is>
          <t>Liver Point 14</t>
        </is>
      </c>
      <c r="E328" s="16" t="inlineStr">
        <is>
          <t>Standard Meridian Point</t>
        </is>
      </c>
      <c r="F328" s="17" t="inlineStr">
        <is>
          <t>Regulates local meridian qi and blood, alleviates local pain and stiffness</t>
        </is>
      </c>
      <c r="G328" s="17" t="inlineStr">
        <is>
          <t>Along the course of the Liver meridian (Point 14)</t>
        </is>
      </c>
      <c r="H328" s="13" t="inlineStr">
        <is>
          <t>Not Studied</t>
        </is>
      </c>
      <c r="I328" s="14" t="n"/>
    </row>
    <row r="329" ht="22" customHeight="1">
      <c r="A329" s="9" t="inlineStr">
        <is>
          <t>CONCEPTION VESSEL (REN) MERIDIAN POINTS</t>
        </is>
      </c>
    </row>
    <row r="330" ht="20" customHeight="1">
      <c r="A330" s="15" t="inlineStr">
        <is>
          <t>CV-1</t>
        </is>
      </c>
      <c r="B330" s="16" t="inlineStr"/>
      <c r="C330" s="16" t="inlineStr"/>
      <c r="D330" s="16" t="inlineStr">
        <is>
          <t>Conception Vessel (Ren) Point 1</t>
        </is>
      </c>
      <c r="E330" s="16" t="inlineStr">
        <is>
          <t>Standard Meridian Point</t>
        </is>
      </c>
      <c r="F330" s="17" t="inlineStr">
        <is>
          <t>Regulates local meridian qi and blood, alleviates local pain and stiffness</t>
        </is>
      </c>
      <c r="G330" s="17" t="inlineStr">
        <is>
          <t>Along the course of the Conception Vessel (Ren) meridian (Point 1)</t>
        </is>
      </c>
      <c r="H330" s="13" t="inlineStr">
        <is>
          <t>Not Studied</t>
        </is>
      </c>
      <c r="I330" s="14" t="n"/>
    </row>
    <row r="331" ht="20" customHeight="1">
      <c r="A331" s="10" t="inlineStr">
        <is>
          <t>CV-2</t>
        </is>
      </c>
      <c r="B331" s="11" t="inlineStr"/>
      <c r="C331" s="11" t="inlineStr"/>
      <c r="D331" s="11" t="inlineStr">
        <is>
          <t>Conception Vessel (Ren) Point 2</t>
        </is>
      </c>
      <c r="E331" s="11" t="inlineStr">
        <is>
          <t>Standard Meridian Point</t>
        </is>
      </c>
      <c r="F331" s="12" t="inlineStr">
        <is>
          <t>Regulates local meridian qi and blood, alleviates local pain and stiffness</t>
        </is>
      </c>
      <c r="G331" s="12" t="inlineStr">
        <is>
          <t>Along the course of the Conception Vessel (Ren) meridian (Point 2)</t>
        </is>
      </c>
      <c r="H331" s="13" t="inlineStr">
        <is>
          <t>Not Studied</t>
        </is>
      </c>
      <c r="I331" s="14" t="n"/>
    </row>
    <row r="332" ht="20" customHeight="1">
      <c r="A332" s="15" t="inlineStr">
        <is>
          <t>CV-3</t>
        </is>
      </c>
      <c r="B332" s="16" t="inlineStr"/>
      <c r="C332" s="16" t="inlineStr"/>
      <c r="D332" s="16" t="inlineStr">
        <is>
          <t>Conception Vessel (Ren) Point 3</t>
        </is>
      </c>
      <c r="E332" s="16" t="inlineStr">
        <is>
          <t>Standard Meridian Point</t>
        </is>
      </c>
      <c r="F332" s="17" t="inlineStr">
        <is>
          <t>Regulates local meridian qi and blood, alleviates local pain and stiffness</t>
        </is>
      </c>
      <c r="G332" s="17" t="inlineStr">
        <is>
          <t>Along the course of the Conception Vessel (Ren) meridian (Point 3)</t>
        </is>
      </c>
      <c r="H332" s="13" t="inlineStr">
        <is>
          <t>Not Studied</t>
        </is>
      </c>
      <c r="I332" s="14" t="n"/>
    </row>
    <row r="333" ht="20" customHeight="1">
      <c r="A333" s="10" t="inlineStr">
        <is>
          <t>CV-4</t>
        </is>
      </c>
      <c r="B333" s="11" t="inlineStr">
        <is>
          <t>關元</t>
        </is>
      </c>
      <c r="C333" s="11" t="inlineStr">
        <is>
          <t>Guānyuán</t>
        </is>
      </c>
      <c r="D333" s="11" t="inlineStr">
        <is>
          <t>Gate of Origin</t>
        </is>
      </c>
      <c r="E333" s="11" t="inlineStr">
        <is>
          <t>Front-Mu of SI, Meeting of CV and three leg yin</t>
        </is>
      </c>
      <c r="F333" s="12" t="inlineStr">
        <is>
          <t>Vigorously tonifies original qi, Spleen/Kidney yang, nourishes yin/essence, regulates menstruation</t>
        </is>
      </c>
      <c r="G333" s="12" t="inlineStr">
        <is>
          <t>On midline of lower abdomen, 3 cun inferior to umbilicus</t>
        </is>
      </c>
      <c r="H333" s="13" t="inlineStr">
        <is>
          <t>Not Studied</t>
        </is>
      </c>
      <c r="I333" s="14" t="n"/>
    </row>
    <row r="334" ht="20" customHeight="1">
      <c r="A334" s="15" t="inlineStr">
        <is>
          <t>CV-5</t>
        </is>
      </c>
      <c r="B334" s="16" t="inlineStr"/>
      <c r="C334" s="16" t="inlineStr"/>
      <c r="D334" s="16" t="inlineStr">
        <is>
          <t>Conception Vessel (Ren) Point 5</t>
        </is>
      </c>
      <c r="E334" s="16" t="inlineStr">
        <is>
          <t>Standard Meridian Point</t>
        </is>
      </c>
      <c r="F334" s="17" t="inlineStr">
        <is>
          <t>Regulates local meridian qi and blood, alleviates local pain and stiffness</t>
        </is>
      </c>
      <c r="G334" s="17" t="inlineStr">
        <is>
          <t>Along the course of the Conception Vessel (Ren) meridian (Point 5)</t>
        </is>
      </c>
      <c r="H334" s="13" t="inlineStr">
        <is>
          <t>Not Studied</t>
        </is>
      </c>
      <c r="I334" s="14" t="n"/>
    </row>
    <row r="335" ht="20" customHeight="1">
      <c r="A335" s="10" t="inlineStr">
        <is>
          <t>CV-6</t>
        </is>
      </c>
      <c r="B335" s="11" t="inlineStr">
        <is>
          <t>氣海</t>
        </is>
      </c>
      <c r="C335" s="11" t="inlineStr">
        <is>
          <t>Qìhǎi</t>
        </is>
      </c>
      <c r="D335" s="11" t="inlineStr">
        <is>
          <t>Sea of Qi</t>
        </is>
      </c>
      <c r="E335" s="11" t="inlineStr">
        <is>
          <t>Point of Sea of Qi</t>
        </is>
      </c>
      <c r="F335" s="12" t="inlineStr">
        <is>
          <t>Tonifies and regulates qi, activates original qi, Spleen/Kidney qi/yang, treats fatigue, prolapse</t>
        </is>
      </c>
      <c r="G335" s="12" t="inlineStr">
        <is>
          <t>On midline of lower abdomen, 1.5 cun inferior to umbilicus</t>
        </is>
      </c>
      <c r="H335" s="13" t="inlineStr">
        <is>
          <t>Not Studied</t>
        </is>
      </c>
      <c r="I335" s="14" t="n"/>
    </row>
    <row r="336" ht="20" customHeight="1">
      <c r="A336" s="15" t="inlineStr">
        <is>
          <t>CV-7</t>
        </is>
      </c>
      <c r="B336" s="16" t="inlineStr"/>
      <c r="C336" s="16" t="inlineStr"/>
      <c r="D336" s="16" t="inlineStr">
        <is>
          <t>Conception Vessel (Ren) Point 7</t>
        </is>
      </c>
      <c r="E336" s="16" t="inlineStr">
        <is>
          <t>Standard Meridian Point</t>
        </is>
      </c>
      <c r="F336" s="17" t="inlineStr">
        <is>
          <t>Regulates local meridian qi and blood, alleviates local pain and stiffness</t>
        </is>
      </c>
      <c r="G336" s="17" t="inlineStr">
        <is>
          <t>Along the course of the Conception Vessel (Ren) meridian (Point 7)</t>
        </is>
      </c>
      <c r="H336" s="13" t="inlineStr">
        <is>
          <t>Not Studied</t>
        </is>
      </c>
      <c r="I336" s="14" t="n"/>
    </row>
    <row r="337" ht="20" customHeight="1">
      <c r="A337" s="10" t="inlineStr">
        <is>
          <t>CV-8</t>
        </is>
      </c>
      <c r="B337" s="11" t="inlineStr"/>
      <c r="C337" s="11" t="inlineStr"/>
      <c r="D337" s="11" t="inlineStr">
        <is>
          <t>Conception Vessel (Ren) Point 8</t>
        </is>
      </c>
      <c r="E337" s="11" t="inlineStr">
        <is>
          <t>Standard Meridian Point</t>
        </is>
      </c>
      <c r="F337" s="12" t="inlineStr">
        <is>
          <t>Regulates local meridian qi and blood, alleviates local pain and stiffness</t>
        </is>
      </c>
      <c r="G337" s="12" t="inlineStr">
        <is>
          <t>Along the course of the Conception Vessel (Ren) meridian (Point 8)</t>
        </is>
      </c>
      <c r="H337" s="13" t="inlineStr">
        <is>
          <t>Not Studied</t>
        </is>
      </c>
      <c r="I337" s="14" t="n"/>
    </row>
    <row r="338" ht="20" customHeight="1">
      <c r="A338" s="15" t="inlineStr">
        <is>
          <t>CV-9</t>
        </is>
      </c>
      <c r="B338" s="16" t="inlineStr"/>
      <c r="C338" s="16" t="inlineStr"/>
      <c r="D338" s="16" t="inlineStr">
        <is>
          <t>Conception Vessel (Ren) Point 9</t>
        </is>
      </c>
      <c r="E338" s="16" t="inlineStr">
        <is>
          <t>Standard Meridian Point</t>
        </is>
      </c>
      <c r="F338" s="17" t="inlineStr">
        <is>
          <t>Regulates local meridian qi and blood, alleviates local pain and stiffness</t>
        </is>
      </c>
      <c r="G338" s="17" t="inlineStr">
        <is>
          <t>Along the course of the Conception Vessel (Ren) meridian (Point 9)</t>
        </is>
      </c>
      <c r="H338" s="13" t="inlineStr">
        <is>
          <t>Not Studied</t>
        </is>
      </c>
      <c r="I338" s="14" t="n"/>
    </row>
    <row r="339" ht="20" customHeight="1">
      <c r="A339" s="10" t="inlineStr">
        <is>
          <t>CV-10</t>
        </is>
      </c>
      <c r="B339" s="11" t="inlineStr"/>
      <c r="C339" s="11" t="inlineStr"/>
      <c r="D339" s="11" t="inlineStr">
        <is>
          <t>Conception Vessel (Ren) Point 10</t>
        </is>
      </c>
      <c r="E339" s="11" t="inlineStr">
        <is>
          <t>Standard Meridian Point</t>
        </is>
      </c>
      <c r="F339" s="12" t="inlineStr">
        <is>
          <t>Regulates local meridian qi and blood, alleviates local pain and stiffness</t>
        </is>
      </c>
      <c r="G339" s="12" t="inlineStr">
        <is>
          <t>Along the course of the Conception Vessel (Ren) meridian (Point 10)</t>
        </is>
      </c>
      <c r="H339" s="13" t="inlineStr">
        <is>
          <t>Not Studied</t>
        </is>
      </c>
      <c r="I339" s="14" t="n"/>
    </row>
    <row r="340" ht="20" customHeight="1">
      <c r="A340" s="15" t="inlineStr">
        <is>
          <t>CV-11</t>
        </is>
      </c>
      <c r="B340" s="16" t="inlineStr"/>
      <c r="C340" s="16" t="inlineStr"/>
      <c r="D340" s="16" t="inlineStr">
        <is>
          <t>Conception Vessel (Ren) Point 11</t>
        </is>
      </c>
      <c r="E340" s="16" t="inlineStr">
        <is>
          <t>Standard Meridian Point</t>
        </is>
      </c>
      <c r="F340" s="17" t="inlineStr">
        <is>
          <t>Regulates local meridian qi and blood, alleviates local pain and stiffness</t>
        </is>
      </c>
      <c r="G340" s="17" t="inlineStr">
        <is>
          <t>Along the course of the Conception Vessel (Ren) meridian (Point 11)</t>
        </is>
      </c>
      <c r="H340" s="13" t="inlineStr">
        <is>
          <t>Not Studied</t>
        </is>
      </c>
      <c r="I340" s="14" t="n"/>
    </row>
    <row r="341" ht="20" customHeight="1">
      <c r="A341" s="10" t="inlineStr">
        <is>
          <t>CV-12</t>
        </is>
      </c>
      <c r="B341" s="11" t="inlineStr">
        <is>
          <t>中脘</t>
        </is>
      </c>
      <c r="C341" s="11" t="inlineStr">
        <is>
          <t>Zhōngwǎn</t>
        </is>
      </c>
      <c r="D341" s="11" t="inlineStr">
        <is>
          <t>Middle Cavity</t>
        </is>
      </c>
      <c r="E341" s="11" t="inlineStr">
        <is>
          <t>Front-Mu of Stomach, Hui-Meeting of Fu</t>
        </is>
      </c>
      <c r="F341" s="12" t="inlineStr">
        <is>
          <t>Foremost point to regulate Spleen/Stomach, tonifies Stomach qi/yin, treats local pain, gastritis</t>
        </is>
      </c>
      <c r="G341" s="12" t="inlineStr">
        <is>
          <t>On midline of abdomen, 4 cun superior to umbilicus, midway between umbilicus &amp; sternocostal angle</t>
        </is>
      </c>
      <c r="H341" s="13" t="inlineStr">
        <is>
          <t>Not Studied</t>
        </is>
      </c>
      <c r="I341" s="14" t="n"/>
    </row>
    <row r="342" ht="20" customHeight="1">
      <c r="A342" s="15" t="inlineStr">
        <is>
          <t>CV-13</t>
        </is>
      </c>
      <c r="B342" s="16" t="inlineStr"/>
      <c r="C342" s="16" t="inlineStr"/>
      <c r="D342" s="16" t="inlineStr">
        <is>
          <t>Conception Vessel (Ren) Point 13</t>
        </is>
      </c>
      <c r="E342" s="16" t="inlineStr">
        <is>
          <t>Standard Meridian Point</t>
        </is>
      </c>
      <c r="F342" s="17" t="inlineStr">
        <is>
          <t>Regulates local meridian qi and blood, alleviates local pain and stiffness</t>
        </is>
      </c>
      <c r="G342" s="17" t="inlineStr">
        <is>
          <t>Along the course of the Conception Vessel (Ren) meridian (Point 13)</t>
        </is>
      </c>
      <c r="H342" s="13" t="inlineStr">
        <is>
          <t>Not Studied</t>
        </is>
      </c>
      <c r="I342" s="14" t="n"/>
    </row>
    <row r="343" ht="20" customHeight="1">
      <c r="A343" s="10" t="inlineStr">
        <is>
          <t>CV-14</t>
        </is>
      </c>
      <c r="B343" s="11" t="inlineStr"/>
      <c r="C343" s="11" t="inlineStr"/>
      <c r="D343" s="11" t="inlineStr">
        <is>
          <t>Conception Vessel (Ren) Point 14</t>
        </is>
      </c>
      <c r="E343" s="11" t="inlineStr">
        <is>
          <t>Standard Meridian Point</t>
        </is>
      </c>
      <c r="F343" s="12" t="inlineStr">
        <is>
          <t>Regulates local meridian qi and blood, alleviates local pain and stiffness</t>
        </is>
      </c>
      <c r="G343" s="12" t="inlineStr">
        <is>
          <t>Along the course of the Conception Vessel (Ren) meridian (Point 14)</t>
        </is>
      </c>
      <c r="H343" s="13" t="inlineStr">
        <is>
          <t>Not Studied</t>
        </is>
      </c>
      <c r="I343" s="14" t="n"/>
    </row>
    <row r="344" ht="20" customHeight="1">
      <c r="A344" s="15" t="inlineStr">
        <is>
          <t>CV-15</t>
        </is>
      </c>
      <c r="B344" s="16" t="inlineStr"/>
      <c r="C344" s="16" t="inlineStr"/>
      <c r="D344" s="16" t="inlineStr">
        <is>
          <t>Conception Vessel (Ren) Point 15</t>
        </is>
      </c>
      <c r="E344" s="16" t="inlineStr">
        <is>
          <t>Standard Meridian Point</t>
        </is>
      </c>
      <c r="F344" s="17" t="inlineStr">
        <is>
          <t>Regulates local meridian qi and blood, alleviates local pain and stiffness</t>
        </is>
      </c>
      <c r="G344" s="17" t="inlineStr">
        <is>
          <t>Along the course of the Conception Vessel (Ren) meridian (Point 15)</t>
        </is>
      </c>
      <c r="H344" s="13" t="inlineStr">
        <is>
          <t>Not Studied</t>
        </is>
      </c>
      <c r="I344" s="14" t="n"/>
    </row>
    <row r="345" ht="20" customHeight="1">
      <c r="A345" s="10" t="inlineStr">
        <is>
          <t>CV-16</t>
        </is>
      </c>
      <c r="B345" s="11" t="inlineStr"/>
      <c r="C345" s="11" t="inlineStr"/>
      <c r="D345" s="11" t="inlineStr">
        <is>
          <t>Conception Vessel (Ren) Point 16</t>
        </is>
      </c>
      <c r="E345" s="11" t="inlineStr">
        <is>
          <t>Standard Meridian Point</t>
        </is>
      </c>
      <c r="F345" s="12" t="inlineStr">
        <is>
          <t>Regulates local meridian qi and blood, alleviates local pain and stiffness</t>
        </is>
      </c>
      <c r="G345" s="12" t="inlineStr">
        <is>
          <t>Along the course of the Conception Vessel (Ren) meridian (Point 16)</t>
        </is>
      </c>
      <c r="H345" s="13" t="inlineStr">
        <is>
          <t>Not Studied</t>
        </is>
      </c>
      <c r="I345" s="14" t="n"/>
    </row>
    <row r="346" ht="20" customHeight="1">
      <c r="A346" s="15" t="inlineStr">
        <is>
          <t>CV-17</t>
        </is>
      </c>
      <c r="B346" s="16" t="inlineStr">
        <is>
          <t>膻中</t>
        </is>
      </c>
      <c r="C346" s="16" t="inlineStr">
        <is>
          <t>Shānzhōng</t>
        </is>
      </c>
      <c r="D346" s="16" t="inlineStr">
        <is>
          <t>Chest Centre</t>
        </is>
      </c>
      <c r="E346" s="16" t="inlineStr">
        <is>
          <t>Front-Mu of PC, Hui-Meeting of Qi, Sea of Qi</t>
        </is>
      </c>
      <c r="F346" s="17" t="inlineStr">
        <is>
          <t>Hui-meeting point for qi, regulates/descends chest qi, benefits breasts/lactation, treats chest pain</t>
        </is>
      </c>
      <c r="G346" s="17" t="inlineStr">
        <is>
          <t>On midline of sternum, in depression level with junction of 4th intercostal space &amp; sternum</t>
        </is>
      </c>
      <c r="H346" s="13" t="inlineStr">
        <is>
          <t>Not Studied</t>
        </is>
      </c>
      <c r="I346" s="14" t="n"/>
    </row>
    <row r="347" ht="20" customHeight="1">
      <c r="A347" s="10" t="inlineStr">
        <is>
          <t>CV-18</t>
        </is>
      </c>
      <c r="B347" s="11" t="inlineStr"/>
      <c r="C347" s="11" t="inlineStr"/>
      <c r="D347" s="11" t="inlineStr">
        <is>
          <t>Conception Vessel (Ren) Point 18</t>
        </is>
      </c>
      <c r="E347" s="11" t="inlineStr">
        <is>
          <t>Standard Meridian Point</t>
        </is>
      </c>
      <c r="F347" s="12" t="inlineStr">
        <is>
          <t>Regulates local meridian qi and blood, alleviates local pain and stiffness</t>
        </is>
      </c>
      <c r="G347" s="12" t="inlineStr">
        <is>
          <t>Along the course of the Conception Vessel (Ren) meridian (Point 18)</t>
        </is>
      </c>
      <c r="H347" s="13" t="inlineStr">
        <is>
          <t>Not Studied</t>
        </is>
      </c>
      <c r="I347" s="14" t="n"/>
    </row>
    <row r="348" ht="20" customHeight="1">
      <c r="A348" s="15" t="inlineStr">
        <is>
          <t>CV-19</t>
        </is>
      </c>
      <c r="B348" s="16" t="inlineStr"/>
      <c r="C348" s="16" t="inlineStr"/>
      <c r="D348" s="16" t="inlineStr">
        <is>
          <t>Conception Vessel (Ren) Point 19</t>
        </is>
      </c>
      <c r="E348" s="16" t="inlineStr">
        <is>
          <t>Standard Meridian Point</t>
        </is>
      </c>
      <c r="F348" s="17" t="inlineStr">
        <is>
          <t>Regulates local meridian qi and blood, alleviates local pain and stiffness</t>
        </is>
      </c>
      <c r="G348" s="17" t="inlineStr">
        <is>
          <t>Along the course of the Conception Vessel (Ren) meridian (Point 19)</t>
        </is>
      </c>
      <c r="H348" s="13" t="inlineStr">
        <is>
          <t>Not Studied</t>
        </is>
      </c>
      <c r="I348" s="14" t="n"/>
    </row>
    <row r="349" ht="20" customHeight="1">
      <c r="A349" s="10" t="inlineStr">
        <is>
          <t>CV-20</t>
        </is>
      </c>
      <c r="B349" s="11" t="inlineStr"/>
      <c r="C349" s="11" t="inlineStr"/>
      <c r="D349" s="11" t="inlineStr">
        <is>
          <t>Conception Vessel (Ren) Point 20</t>
        </is>
      </c>
      <c r="E349" s="11" t="inlineStr">
        <is>
          <t>Standard Meridian Point</t>
        </is>
      </c>
      <c r="F349" s="12" t="inlineStr">
        <is>
          <t>Regulates local meridian qi and blood, alleviates local pain and stiffness</t>
        </is>
      </c>
      <c r="G349" s="12" t="inlineStr">
        <is>
          <t>Along the course of the Conception Vessel (Ren) meridian (Point 20)</t>
        </is>
      </c>
      <c r="H349" s="13" t="inlineStr">
        <is>
          <t>Not Studied</t>
        </is>
      </c>
      <c r="I349" s="14" t="n"/>
    </row>
    <row r="350" ht="20" customHeight="1">
      <c r="A350" s="15" t="inlineStr">
        <is>
          <t>CV-21</t>
        </is>
      </c>
      <c r="B350" s="16" t="inlineStr"/>
      <c r="C350" s="16" t="inlineStr"/>
      <c r="D350" s="16" t="inlineStr">
        <is>
          <t>Conception Vessel (Ren) Point 21</t>
        </is>
      </c>
      <c r="E350" s="16" t="inlineStr">
        <is>
          <t>Standard Meridian Point</t>
        </is>
      </c>
      <c r="F350" s="17" t="inlineStr">
        <is>
          <t>Regulates local meridian qi and blood, alleviates local pain and stiffness</t>
        </is>
      </c>
      <c r="G350" s="17" t="inlineStr">
        <is>
          <t>Along the course of the Conception Vessel (Ren) meridian (Point 21)</t>
        </is>
      </c>
      <c r="H350" s="13" t="inlineStr">
        <is>
          <t>Not Studied</t>
        </is>
      </c>
      <c r="I350" s="14" t="n"/>
    </row>
    <row r="351" ht="20" customHeight="1">
      <c r="A351" s="10" t="inlineStr">
        <is>
          <t>CV-22</t>
        </is>
      </c>
      <c r="B351" s="11" t="inlineStr"/>
      <c r="C351" s="11" t="inlineStr"/>
      <c r="D351" s="11" t="inlineStr">
        <is>
          <t>Conception Vessel (Ren) Point 22</t>
        </is>
      </c>
      <c r="E351" s="11" t="inlineStr">
        <is>
          <t>Standard Meridian Point</t>
        </is>
      </c>
      <c r="F351" s="12" t="inlineStr">
        <is>
          <t>Regulates local meridian qi and blood, alleviates local pain and stiffness</t>
        </is>
      </c>
      <c r="G351" s="12" t="inlineStr">
        <is>
          <t>Along the course of the Conception Vessel (Ren) meridian (Point 22)</t>
        </is>
      </c>
      <c r="H351" s="13" t="inlineStr">
        <is>
          <t>Not Studied</t>
        </is>
      </c>
      <c r="I351" s="14" t="n"/>
    </row>
    <row r="352" ht="20" customHeight="1">
      <c r="A352" s="15" t="inlineStr">
        <is>
          <t>CV-23</t>
        </is>
      </c>
      <c r="B352" s="16" t="inlineStr"/>
      <c r="C352" s="16" t="inlineStr"/>
      <c r="D352" s="16" t="inlineStr">
        <is>
          <t>Conception Vessel (Ren) Point 23</t>
        </is>
      </c>
      <c r="E352" s="16" t="inlineStr">
        <is>
          <t>Standard Meridian Point</t>
        </is>
      </c>
      <c r="F352" s="17" t="inlineStr">
        <is>
          <t>Regulates local meridian qi and blood, alleviates local pain and stiffness</t>
        </is>
      </c>
      <c r="G352" s="17" t="inlineStr">
        <is>
          <t>Along the course of the Conception Vessel (Ren) meridian (Point 23)</t>
        </is>
      </c>
      <c r="H352" s="13" t="inlineStr">
        <is>
          <t>Not Studied</t>
        </is>
      </c>
      <c r="I352" s="14" t="n"/>
    </row>
    <row r="353" ht="20" customHeight="1">
      <c r="A353" s="10" t="inlineStr">
        <is>
          <t>CV-24</t>
        </is>
      </c>
      <c r="B353" s="11" t="inlineStr">
        <is>
          <t>承漿</t>
        </is>
      </c>
      <c r="C353" s="11" t="inlineStr">
        <is>
          <t>Chéngjiāng</t>
        </is>
      </c>
      <c r="D353" s="11" t="inlineStr">
        <is>
          <t>Saliva Container</t>
        </is>
      </c>
      <c r="E353" s="11" t="inlineStr">
        <is>
          <t>Meeting of CV, GV, LI, ST, Ghost Point</t>
        </is>
      </c>
      <c r="F353" s="12" t="inlineStr">
        <is>
          <t>Container of fluids, eliminates wind, local jaw pain</t>
        </is>
      </c>
      <c r="G353" s="12" t="inlineStr">
        <is>
          <t>In the depression in the centre of the mentolabial groove</t>
        </is>
      </c>
      <c r="H353" s="13" t="inlineStr">
        <is>
          <t>Not Studied</t>
        </is>
      </c>
      <c r="I353" s="14" t="n"/>
    </row>
    <row r="354" ht="22" customHeight="1">
      <c r="A354" s="9" t="inlineStr">
        <is>
          <t>GOVERNING VESSEL (DU) MERIDIAN POINTS</t>
        </is>
      </c>
    </row>
    <row r="355" ht="20" customHeight="1">
      <c r="A355" s="10" t="inlineStr">
        <is>
          <t>GV-1</t>
        </is>
      </c>
      <c r="B355" s="11" t="inlineStr"/>
      <c r="C355" s="11" t="inlineStr"/>
      <c r="D355" s="11" t="inlineStr">
        <is>
          <t>Governing Vessel (Du) Point 1</t>
        </is>
      </c>
      <c r="E355" s="11" t="inlineStr">
        <is>
          <t>Standard Meridian Point</t>
        </is>
      </c>
      <c r="F355" s="12" t="inlineStr">
        <is>
          <t>Regulates local meridian qi and blood, alleviates local pain and stiffness</t>
        </is>
      </c>
      <c r="G355" s="12" t="inlineStr">
        <is>
          <t>Along the course of the Governing Vessel (Du) meridian (Point 1)</t>
        </is>
      </c>
      <c r="H355" s="13" t="inlineStr">
        <is>
          <t>Not Studied</t>
        </is>
      </c>
      <c r="I355" s="14" t="n"/>
    </row>
    <row r="356" ht="20" customHeight="1">
      <c r="A356" s="15" t="inlineStr">
        <is>
          <t>GV-2</t>
        </is>
      </c>
      <c r="B356" s="16" t="inlineStr"/>
      <c r="C356" s="16" t="inlineStr"/>
      <c r="D356" s="16" t="inlineStr">
        <is>
          <t>Governing Vessel (Du) Point 2</t>
        </is>
      </c>
      <c r="E356" s="16" t="inlineStr">
        <is>
          <t>Standard Meridian Point</t>
        </is>
      </c>
      <c r="F356" s="17" t="inlineStr">
        <is>
          <t>Regulates local meridian qi and blood, alleviates local pain and stiffness</t>
        </is>
      </c>
      <c r="G356" s="17" t="inlineStr">
        <is>
          <t>Along the course of the Governing Vessel (Du) meridian (Point 2)</t>
        </is>
      </c>
      <c r="H356" s="13" t="inlineStr">
        <is>
          <t>Not Studied</t>
        </is>
      </c>
      <c r="I356" s="14" t="n"/>
    </row>
    <row r="357" ht="20" customHeight="1">
      <c r="A357" s="10" t="inlineStr">
        <is>
          <t>GV-3</t>
        </is>
      </c>
      <c r="B357" s="11" t="inlineStr"/>
      <c r="C357" s="11" t="inlineStr"/>
      <c r="D357" s="11" t="inlineStr">
        <is>
          <t>Governing Vessel (Du) Point 3</t>
        </is>
      </c>
      <c r="E357" s="11" t="inlineStr">
        <is>
          <t>Standard Meridian Point</t>
        </is>
      </c>
      <c r="F357" s="12" t="inlineStr">
        <is>
          <t>Regulates local meridian qi and blood, alleviates local pain and stiffness</t>
        </is>
      </c>
      <c r="G357" s="12" t="inlineStr">
        <is>
          <t>Along the course of the Governing Vessel (Du) meridian (Point 3)</t>
        </is>
      </c>
      <c r="H357" s="13" t="inlineStr">
        <is>
          <t>Not Studied</t>
        </is>
      </c>
      <c r="I357" s="14" t="n"/>
    </row>
    <row r="358" ht="20" customHeight="1">
      <c r="A358" s="15" t="inlineStr">
        <is>
          <t>GV-4</t>
        </is>
      </c>
      <c r="B358" s="16" t="inlineStr"/>
      <c r="C358" s="16" t="inlineStr"/>
      <c r="D358" s="16" t="inlineStr">
        <is>
          <t>Governing Vessel (Du) Point 4</t>
        </is>
      </c>
      <c r="E358" s="16" t="inlineStr">
        <is>
          <t>Standard Meridian Point</t>
        </is>
      </c>
      <c r="F358" s="17" t="inlineStr">
        <is>
          <t>Regulates local meridian qi and blood, alleviates local pain and stiffness</t>
        </is>
      </c>
      <c r="G358" s="17" t="inlineStr">
        <is>
          <t>Along the course of the Governing Vessel (Du) meridian (Point 4)</t>
        </is>
      </c>
      <c r="H358" s="13" t="inlineStr">
        <is>
          <t>Not Studied</t>
        </is>
      </c>
      <c r="I358" s="14" t="n"/>
    </row>
    <row r="359" ht="20" customHeight="1">
      <c r="A359" s="10" t="inlineStr">
        <is>
          <t>GV-5</t>
        </is>
      </c>
      <c r="B359" s="11" t="inlineStr"/>
      <c r="C359" s="11" t="inlineStr"/>
      <c r="D359" s="11" t="inlineStr">
        <is>
          <t>Governing Vessel (Du) Point 5</t>
        </is>
      </c>
      <c r="E359" s="11" t="inlineStr">
        <is>
          <t>Standard Meridian Point</t>
        </is>
      </c>
      <c r="F359" s="12" t="inlineStr">
        <is>
          <t>Regulates local meridian qi and blood, alleviates local pain and stiffness</t>
        </is>
      </c>
      <c r="G359" s="12" t="inlineStr">
        <is>
          <t>Along the course of the Governing Vessel (Du) meridian (Point 5)</t>
        </is>
      </c>
      <c r="H359" s="13" t="inlineStr">
        <is>
          <t>Not Studied</t>
        </is>
      </c>
      <c r="I359" s="14" t="n"/>
    </row>
    <row r="360" ht="20" customHeight="1">
      <c r="A360" s="15" t="inlineStr">
        <is>
          <t>GV-6</t>
        </is>
      </c>
      <c r="B360" s="16" t="inlineStr"/>
      <c r="C360" s="16" t="inlineStr"/>
      <c r="D360" s="16" t="inlineStr">
        <is>
          <t>Governing Vessel (Du) Point 6</t>
        </is>
      </c>
      <c r="E360" s="16" t="inlineStr">
        <is>
          <t>Standard Meridian Point</t>
        </is>
      </c>
      <c r="F360" s="17" t="inlineStr">
        <is>
          <t>Regulates local meridian qi and blood, alleviates local pain and stiffness</t>
        </is>
      </c>
      <c r="G360" s="17" t="inlineStr">
        <is>
          <t>Along the course of the Governing Vessel (Du) meridian (Point 6)</t>
        </is>
      </c>
      <c r="H360" s="13" t="inlineStr">
        <is>
          <t>Not Studied</t>
        </is>
      </c>
      <c r="I360" s="14" t="n"/>
    </row>
    <row r="361" ht="20" customHeight="1">
      <c r="A361" s="10" t="inlineStr">
        <is>
          <t>GV-7</t>
        </is>
      </c>
      <c r="B361" s="11" t="inlineStr"/>
      <c r="C361" s="11" t="inlineStr"/>
      <c r="D361" s="11" t="inlineStr">
        <is>
          <t>Governing Vessel (Du) Point 7</t>
        </is>
      </c>
      <c r="E361" s="11" t="inlineStr">
        <is>
          <t>Standard Meridian Point</t>
        </is>
      </c>
      <c r="F361" s="12" t="inlineStr">
        <is>
          <t>Regulates local meridian qi and blood, alleviates local pain and stiffness</t>
        </is>
      </c>
      <c r="G361" s="12" t="inlineStr">
        <is>
          <t>Along the course of the Governing Vessel (Du) meridian (Point 7)</t>
        </is>
      </c>
      <c r="H361" s="13" t="inlineStr">
        <is>
          <t>Not Studied</t>
        </is>
      </c>
      <c r="I361" s="14" t="n"/>
    </row>
    <row r="362" ht="20" customHeight="1">
      <c r="A362" s="15" t="inlineStr">
        <is>
          <t>GV-8</t>
        </is>
      </c>
      <c r="B362" s="16" t="inlineStr"/>
      <c r="C362" s="16" t="inlineStr"/>
      <c r="D362" s="16" t="inlineStr">
        <is>
          <t>Governing Vessel (Du) Point 8</t>
        </is>
      </c>
      <c r="E362" s="16" t="inlineStr">
        <is>
          <t>Standard Meridian Point</t>
        </is>
      </c>
      <c r="F362" s="17" t="inlineStr">
        <is>
          <t>Regulates local meridian qi and blood, alleviates local pain and stiffness</t>
        </is>
      </c>
      <c r="G362" s="17" t="inlineStr">
        <is>
          <t>Along the course of the Governing Vessel (Du) meridian (Point 8)</t>
        </is>
      </c>
      <c r="H362" s="13" t="inlineStr">
        <is>
          <t>Not Studied</t>
        </is>
      </c>
      <c r="I362" s="14" t="n"/>
    </row>
    <row r="363" ht="20" customHeight="1">
      <c r="A363" s="10" t="inlineStr">
        <is>
          <t>GV-9</t>
        </is>
      </c>
      <c r="B363" s="11" t="inlineStr"/>
      <c r="C363" s="11" t="inlineStr"/>
      <c r="D363" s="11" t="inlineStr">
        <is>
          <t>Governing Vessel (Du) Point 9</t>
        </is>
      </c>
      <c r="E363" s="11" t="inlineStr">
        <is>
          <t>Standard Meridian Point</t>
        </is>
      </c>
      <c r="F363" s="12" t="inlineStr">
        <is>
          <t>Regulates local meridian qi and blood, alleviates local pain and stiffness</t>
        </is>
      </c>
      <c r="G363" s="12" t="inlineStr">
        <is>
          <t>Along the course of the Governing Vessel (Du) meridian (Point 9)</t>
        </is>
      </c>
      <c r="H363" s="13" t="inlineStr">
        <is>
          <t>Not Studied</t>
        </is>
      </c>
      <c r="I363" s="14" t="n"/>
    </row>
    <row r="364" ht="20" customHeight="1">
      <c r="A364" s="15" t="inlineStr">
        <is>
          <t>GV-10</t>
        </is>
      </c>
      <c r="B364" s="16" t="inlineStr"/>
      <c r="C364" s="16" t="inlineStr"/>
      <c r="D364" s="16" t="inlineStr">
        <is>
          <t>Governing Vessel (Du) Point 10</t>
        </is>
      </c>
      <c r="E364" s="16" t="inlineStr">
        <is>
          <t>Standard Meridian Point</t>
        </is>
      </c>
      <c r="F364" s="17" t="inlineStr">
        <is>
          <t>Regulates local meridian qi and blood, alleviates local pain and stiffness</t>
        </is>
      </c>
      <c r="G364" s="17" t="inlineStr">
        <is>
          <t>Along the course of the Governing Vessel (Du) meridian (Point 10)</t>
        </is>
      </c>
      <c r="H364" s="13" t="inlineStr">
        <is>
          <t>Not Studied</t>
        </is>
      </c>
      <c r="I364" s="14" t="n"/>
    </row>
    <row r="365" ht="20" customHeight="1">
      <c r="A365" s="10" t="inlineStr">
        <is>
          <t>GV-11</t>
        </is>
      </c>
      <c r="B365" s="11" t="inlineStr"/>
      <c r="C365" s="11" t="inlineStr"/>
      <c r="D365" s="11" t="inlineStr">
        <is>
          <t>Governing Vessel (Du) Point 11</t>
        </is>
      </c>
      <c r="E365" s="11" t="inlineStr">
        <is>
          <t>Standard Meridian Point</t>
        </is>
      </c>
      <c r="F365" s="12" t="inlineStr">
        <is>
          <t>Regulates local meridian qi and blood, alleviates local pain and stiffness</t>
        </is>
      </c>
      <c r="G365" s="12" t="inlineStr">
        <is>
          <t>Along the course of the Governing Vessel (Du) meridian (Point 11)</t>
        </is>
      </c>
      <c r="H365" s="13" t="inlineStr">
        <is>
          <t>Not Studied</t>
        </is>
      </c>
      <c r="I365" s="14" t="n"/>
    </row>
    <row r="366" ht="20" customHeight="1">
      <c r="A366" s="15" t="inlineStr">
        <is>
          <t>GV-12</t>
        </is>
      </c>
      <c r="B366" s="16" t="inlineStr"/>
      <c r="C366" s="16" t="inlineStr"/>
      <c r="D366" s="16" t="inlineStr">
        <is>
          <t>Governing Vessel (Du) Point 12</t>
        </is>
      </c>
      <c r="E366" s="16" t="inlineStr">
        <is>
          <t>Standard Meridian Point</t>
        </is>
      </c>
      <c r="F366" s="17" t="inlineStr">
        <is>
          <t>Regulates local meridian qi and blood, alleviates local pain and stiffness</t>
        </is>
      </c>
      <c r="G366" s="17" t="inlineStr">
        <is>
          <t>Along the course of the Governing Vessel (Du) meridian (Point 12)</t>
        </is>
      </c>
      <c r="H366" s="13" t="inlineStr">
        <is>
          <t>Not Studied</t>
        </is>
      </c>
      <c r="I366" s="14" t="n"/>
    </row>
    <row r="367" ht="20" customHeight="1">
      <c r="A367" s="10" t="inlineStr">
        <is>
          <t>GV-13</t>
        </is>
      </c>
      <c r="B367" s="11" t="inlineStr"/>
      <c r="C367" s="11" t="inlineStr"/>
      <c r="D367" s="11" t="inlineStr">
        <is>
          <t>Governing Vessel (Du) Point 13</t>
        </is>
      </c>
      <c r="E367" s="11" t="inlineStr">
        <is>
          <t>Standard Meridian Point</t>
        </is>
      </c>
      <c r="F367" s="12" t="inlineStr">
        <is>
          <t>Regulates local meridian qi and blood, alleviates local pain and stiffness</t>
        </is>
      </c>
      <c r="G367" s="12" t="inlineStr">
        <is>
          <t>Along the course of the Governing Vessel (Du) meridian (Point 13)</t>
        </is>
      </c>
      <c r="H367" s="13" t="inlineStr">
        <is>
          <t>Not Studied</t>
        </is>
      </c>
      <c r="I367" s="14" t="n"/>
    </row>
    <row r="368" ht="20" customHeight="1">
      <c r="A368" s="15" t="inlineStr">
        <is>
          <t>GV-14</t>
        </is>
      </c>
      <c r="B368" s="16" t="inlineStr">
        <is>
          <t>大椎</t>
        </is>
      </c>
      <c r="C368" s="16" t="inlineStr">
        <is>
          <t>Dàzhuī</t>
        </is>
      </c>
      <c r="D368" s="16" t="inlineStr">
        <is>
          <t>Great Vertebra</t>
        </is>
      </c>
      <c r="E368" s="16" t="inlineStr">
        <is>
          <t>Meeting of GV with all six yang channels</t>
        </is>
      </c>
      <c r="F368" s="17" t="inlineStr">
        <is>
          <t>Vigorously clears heat/fire, releases exterior (fever, chills), calms spirit, tonifies body deficiency</t>
        </is>
      </c>
      <c r="G368" s="17" t="inlineStr">
        <is>
          <t>On midline at base of neck, in depression below spinous process of 7th cervical vertebra (C7)</t>
        </is>
      </c>
      <c r="H368" s="13" t="inlineStr">
        <is>
          <t>Not Studied</t>
        </is>
      </c>
      <c r="I368" s="14" t="n"/>
    </row>
    <row r="369" ht="20" customHeight="1">
      <c r="A369" s="10" t="inlineStr">
        <is>
          <t>GV-15</t>
        </is>
      </c>
      <c r="B369" s="11" t="inlineStr"/>
      <c r="C369" s="11" t="inlineStr"/>
      <c r="D369" s="11" t="inlineStr">
        <is>
          <t>Governing Vessel (Du) Point 15</t>
        </is>
      </c>
      <c r="E369" s="11" t="inlineStr">
        <is>
          <t>Standard Meridian Point</t>
        </is>
      </c>
      <c r="F369" s="12" t="inlineStr">
        <is>
          <t>Regulates local meridian qi and blood, alleviates local pain and stiffness</t>
        </is>
      </c>
      <c r="G369" s="12" t="inlineStr">
        <is>
          <t>Along the course of the Governing Vessel (Du) meridian (Point 15)</t>
        </is>
      </c>
      <c r="H369" s="13" t="inlineStr">
        <is>
          <t>Not Studied</t>
        </is>
      </c>
      <c r="I369" s="14" t="n"/>
    </row>
    <row r="370" ht="20" customHeight="1">
      <c r="A370" s="15" t="inlineStr">
        <is>
          <t>GV-16</t>
        </is>
      </c>
      <c r="B370" s="16" t="inlineStr"/>
      <c r="C370" s="16" t="inlineStr"/>
      <c r="D370" s="16" t="inlineStr">
        <is>
          <t>Governing Vessel (Du) Point 16</t>
        </is>
      </c>
      <c r="E370" s="16" t="inlineStr">
        <is>
          <t>Standard Meridian Point</t>
        </is>
      </c>
      <c r="F370" s="17" t="inlineStr">
        <is>
          <t>Regulates local meridian qi and blood, alleviates local pain and stiffness</t>
        </is>
      </c>
      <c r="G370" s="17" t="inlineStr">
        <is>
          <t>Along the course of the Governing Vessel (Du) meridian (Point 16)</t>
        </is>
      </c>
      <c r="H370" s="13" t="inlineStr">
        <is>
          <t>Not Studied</t>
        </is>
      </c>
      <c r="I370" s="14" t="n"/>
    </row>
    <row r="371" ht="20" customHeight="1">
      <c r="A371" s="10" t="inlineStr">
        <is>
          <t>GV-17</t>
        </is>
      </c>
      <c r="B371" s="11" t="inlineStr"/>
      <c r="C371" s="11" t="inlineStr"/>
      <c r="D371" s="11" t="inlineStr">
        <is>
          <t>Governing Vessel (Du) Point 17</t>
        </is>
      </c>
      <c r="E371" s="11" t="inlineStr">
        <is>
          <t>Standard Meridian Point</t>
        </is>
      </c>
      <c r="F371" s="12" t="inlineStr">
        <is>
          <t>Regulates local meridian qi and blood, alleviates local pain and stiffness</t>
        </is>
      </c>
      <c r="G371" s="12" t="inlineStr">
        <is>
          <t>Along the course of the Governing Vessel (Du) meridian (Point 17)</t>
        </is>
      </c>
      <c r="H371" s="13" t="inlineStr">
        <is>
          <t>Not Studied</t>
        </is>
      </c>
      <c r="I371" s="14" t="n"/>
    </row>
    <row r="372" ht="20" customHeight="1">
      <c r="A372" s="15" t="inlineStr">
        <is>
          <t>GV-18</t>
        </is>
      </c>
      <c r="B372" s="16" t="inlineStr"/>
      <c r="C372" s="16" t="inlineStr"/>
      <c r="D372" s="16" t="inlineStr">
        <is>
          <t>Governing Vessel (Du) Point 18</t>
        </is>
      </c>
      <c r="E372" s="16" t="inlineStr">
        <is>
          <t>Standard Meridian Point</t>
        </is>
      </c>
      <c r="F372" s="17" t="inlineStr">
        <is>
          <t>Regulates local meridian qi and blood, alleviates local pain and stiffness</t>
        </is>
      </c>
      <c r="G372" s="17" t="inlineStr">
        <is>
          <t>Along the course of the Governing Vessel (Du) meridian (Point 18)</t>
        </is>
      </c>
      <c r="H372" s="13" t="inlineStr">
        <is>
          <t>Not Studied</t>
        </is>
      </c>
      <c r="I372" s="14" t="n"/>
    </row>
    <row r="373" ht="20" customHeight="1">
      <c r="A373" s="10" t="inlineStr">
        <is>
          <t>GV-19</t>
        </is>
      </c>
      <c r="B373" s="11" t="inlineStr"/>
      <c r="C373" s="11" t="inlineStr"/>
      <c r="D373" s="11" t="inlineStr">
        <is>
          <t>Governing Vessel (Du) Point 19</t>
        </is>
      </c>
      <c r="E373" s="11" t="inlineStr">
        <is>
          <t>Standard Meridian Point</t>
        </is>
      </c>
      <c r="F373" s="12" t="inlineStr">
        <is>
          <t>Regulates local meridian qi and blood, alleviates local pain and stiffness</t>
        </is>
      </c>
      <c r="G373" s="12" t="inlineStr">
        <is>
          <t>Along the course of the Governing Vessel (Du) meridian (Point 19)</t>
        </is>
      </c>
      <c r="H373" s="13" t="inlineStr">
        <is>
          <t>Not Studied</t>
        </is>
      </c>
      <c r="I373" s="14" t="n"/>
    </row>
    <row r="374" ht="20" customHeight="1">
      <c r="A374" s="15" t="inlineStr">
        <is>
          <t>GV-20</t>
        </is>
      </c>
      <c r="B374" s="16" t="inlineStr">
        <is>
          <t>百會</t>
        </is>
      </c>
      <c r="C374" s="16" t="inlineStr">
        <is>
          <t>Bǎihuì</t>
        </is>
      </c>
      <c r="D374" s="16" t="inlineStr">
        <is>
          <t>Hundred Meetings</t>
        </is>
      </c>
      <c r="E374" s="16" t="inlineStr">
        <is>
          <t>Meeting of GV with BL, GB, SJ, LV, Sea of Marrow</t>
        </is>
      </c>
      <c r="F374" s="17" t="inlineStr">
        <is>
          <t>Raises sinking yang (prolapse of rectum/uterus), clears head, calms spirit, pacifies wind, dizziness</t>
        </is>
      </c>
      <c r="G374" s="17" t="inlineStr">
        <is>
          <t>At vertex of head on midline, 5 cun posterior to anterior hairline</t>
        </is>
      </c>
      <c r="H374" s="13" t="inlineStr">
        <is>
          <t>Not Studied</t>
        </is>
      </c>
      <c r="I374" s="14" t="n"/>
    </row>
    <row r="375" ht="20" customHeight="1">
      <c r="A375" s="10" t="inlineStr">
        <is>
          <t>GV-21</t>
        </is>
      </c>
      <c r="B375" s="11" t="inlineStr"/>
      <c r="C375" s="11" t="inlineStr"/>
      <c r="D375" s="11" t="inlineStr">
        <is>
          <t>Governing Vessel (Du) Point 21</t>
        </is>
      </c>
      <c r="E375" s="11" t="inlineStr">
        <is>
          <t>Standard Meridian Point</t>
        </is>
      </c>
      <c r="F375" s="12" t="inlineStr">
        <is>
          <t>Regulates local meridian qi and blood, alleviates local pain and stiffness</t>
        </is>
      </c>
      <c r="G375" s="12" t="inlineStr">
        <is>
          <t>Along the course of the Governing Vessel (Du) meridian (Point 21)</t>
        </is>
      </c>
      <c r="H375" s="13" t="inlineStr">
        <is>
          <t>Not Studied</t>
        </is>
      </c>
      <c r="I375" s="14" t="n"/>
    </row>
    <row r="376" ht="20" customHeight="1">
      <c r="A376" s="15" t="inlineStr">
        <is>
          <t>GV-22</t>
        </is>
      </c>
      <c r="B376" s="16" t="inlineStr"/>
      <c r="C376" s="16" t="inlineStr"/>
      <c r="D376" s="16" t="inlineStr">
        <is>
          <t>Governing Vessel (Du) Point 22</t>
        </is>
      </c>
      <c r="E376" s="16" t="inlineStr">
        <is>
          <t>Standard Meridian Point</t>
        </is>
      </c>
      <c r="F376" s="17" t="inlineStr">
        <is>
          <t>Regulates local meridian qi and blood, alleviates local pain and stiffness</t>
        </is>
      </c>
      <c r="G376" s="17" t="inlineStr">
        <is>
          <t>Along the course of the Governing Vessel (Du) meridian (Point 22)</t>
        </is>
      </c>
      <c r="H376" s="13" t="inlineStr">
        <is>
          <t>Not Studied</t>
        </is>
      </c>
      <c r="I376" s="14" t="n"/>
    </row>
    <row r="377" ht="20" customHeight="1">
      <c r="A377" s="10" t="inlineStr">
        <is>
          <t>GV-23</t>
        </is>
      </c>
      <c r="B377" s="11" t="inlineStr"/>
      <c r="C377" s="11" t="inlineStr"/>
      <c r="D377" s="11" t="inlineStr">
        <is>
          <t>Governing Vessel (Du) Point 23</t>
        </is>
      </c>
      <c r="E377" s="11" t="inlineStr">
        <is>
          <t>Standard Meridian Point</t>
        </is>
      </c>
      <c r="F377" s="12" t="inlineStr">
        <is>
          <t>Regulates local meridian qi and blood, alleviates local pain and stiffness</t>
        </is>
      </c>
      <c r="G377" s="12" t="inlineStr">
        <is>
          <t>Along the course of the Governing Vessel (Du) meridian (Point 23)</t>
        </is>
      </c>
      <c r="H377" s="13" t="inlineStr">
        <is>
          <t>Not Studied</t>
        </is>
      </c>
      <c r="I377" s="14" t="n"/>
    </row>
    <row r="378" ht="20" customHeight="1">
      <c r="A378" s="15" t="inlineStr">
        <is>
          <t>GV-24</t>
        </is>
      </c>
      <c r="B378" s="16" t="inlineStr"/>
      <c r="C378" s="16" t="inlineStr"/>
      <c r="D378" s="16" t="inlineStr">
        <is>
          <t>Governing Vessel (Du) Point 24</t>
        </is>
      </c>
      <c r="E378" s="16" t="inlineStr">
        <is>
          <t>Standard Meridian Point</t>
        </is>
      </c>
      <c r="F378" s="17" t="inlineStr">
        <is>
          <t>Regulates local meridian qi and blood, alleviates local pain and stiffness</t>
        </is>
      </c>
      <c r="G378" s="17" t="inlineStr">
        <is>
          <t>Along the course of the Governing Vessel (Du) meridian (Point 24)</t>
        </is>
      </c>
      <c r="H378" s="13" t="inlineStr">
        <is>
          <t>Not Studied</t>
        </is>
      </c>
      <c r="I378" s="14" t="n"/>
    </row>
    <row r="379" ht="20" customHeight="1">
      <c r="A379" s="10" t="inlineStr">
        <is>
          <t>GV-25</t>
        </is>
      </c>
      <c r="B379" s="11" t="inlineStr"/>
      <c r="C379" s="11" t="inlineStr"/>
      <c r="D379" s="11" t="inlineStr">
        <is>
          <t>Governing Vessel (Du) Point 25</t>
        </is>
      </c>
      <c r="E379" s="11" t="inlineStr">
        <is>
          <t>Standard Meridian Point</t>
        </is>
      </c>
      <c r="F379" s="12" t="inlineStr">
        <is>
          <t>Regulates local meridian qi and blood, alleviates local pain and stiffness</t>
        </is>
      </c>
      <c r="G379" s="12" t="inlineStr">
        <is>
          <t>Along the course of the Governing Vessel (Du) meridian (Point 25)</t>
        </is>
      </c>
      <c r="H379" s="13" t="inlineStr">
        <is>
          <t>Not Studied</t>
        </is>
      </c>
      <c r="I379" s="14" t="n"/>
    </row>
    <row r="380" ht="20" customHeight="1">
      <c r="A380" s="15" t="inlineStr">
        <is>
          <t>GV-26</t>
        </is>
      </c>
      <c r="B380" s="16" t="inlineStr">
        <is>
          <t>人迎</t>
        </is>
      </c>
      <c r="C380" s="16" t="inlineStr">
        <is>
          <t>Rénzhōng</t>
        </is>
      </c>
      <c r="D380" s="16" t="inlineStr">
        <is>
          <t>Man's Middle / Water Trough</t>
        </is>
      </c>
      <c r="E380" s="16" t="inlineStr">
        <is>
          <t>Meeting of GV with LI and ST channels</t>
        </is>
      </c>
      <c r="F380" s="17" t="inlineStr">
        <is>
          <t>Foremost point on body for emergency resuscitation (fainting, shock), acute lumbar sprain, facial pain</t>
        </is>
      </c>
      <c r="G380" s="17" t="inlineStr">
        <is>
          <t>Above upper lip on midline, at junction of upper 1/3 and lower 2/3 of philtrum</t>
        </is>
      </c>
      <c r="H380" s="13" t="inlineStr">
        <is>
          <t>Not Studied</t>
        </is>
      </c>
      <c r="I380" s="14" t="n"/>
    </row>
    <row r="381" ht="20" customHeight="1">
      <c r="A381" s="10" t="inlineStr">
        <is>
          <t>GV-27</t>
        </is>
      </c>
      <c r="B381" s="11" t="inlineStr"/>
      <c r="C381" s="11" t="inlineStr"/>
      <c r="D381" s="11" t="inlineStr">
        <is>
          <t>Governing Vessel (Du) Point 27</t>
        </is>
      </c>
      <c r="E381" s="11" t="inlineStr">
        <is>
          <t>Standard Meridian Point</t>
        </is>
      </c>
      <c r="F381" s="12" t="inlineStr">
        <is>
          <t>Regulates local meridian qi and blood, alleviates local pain and stiffness</t>
        </is>
      </c>
      <c r="G381" s="12" t="inlineStr">
        <is>
          <t>Along the course of the Governing Vessel (Du) meridian (Point 27)</t>
        </is>
      </c>
      <c r="H381" s="13" t="inlineStr">
        <is>
          <t>Not Studied</t>
        </is>
      </c>
      <c r="I381" s="14" t="n"/>
    </row>
    <row r="382" ht="20" customHeight="1">
      <c r="A382" s="15" t="inlineStr">
        <is>
          <t>GV-28</t>
        </is>
      </c>
      <c r="B382" s="16" t="inlineStr">
        <is>
          <t>齦交</t>
        </is>
      </c>
      <c r="C382" s="16" t="inlineStr">
        <is>
          <t>Yǐnjiāo</t>
        </is>
      </c>
      <c r="D382" s="16" t="inlineStr">
        <is>
          <t>Gum Intersection</t>
        </is>
      </c>
      <c r="E382" s="16" t="inlineStr">
        <is>
          <t>Meeting of GV, CV, ST</t>
        </is>
      </c>
      <c r="F382" s="17" t="inlineStr">
        <is>
          <t>Clears heat, benefits gums, nose and eyes</t>
        </is>
      </c>
      <c r="G382" s="17" t="inlineStr">
        <is>
          <t>Inside mouth, in superior frenulum, junction of upper lip and gum</t>
        </is>
      </c>
      <c r="H382" s="13" t="inlineStr">
        <is>
          <t>Not Studied</t>
        </is>
      </c>
      <c r="I382" s="14" t="n"/>
    </row>
  </sheetData>
  <mergeCells count="14">
    <mergeCell ref="A354:I354"/>
    <mergeCell ref="A41:I41"/>
    <mergeCell ref="A235:I235"/>
    <mergeCell ref="A269:I269"/>
    <mergeCell ref="A207:I207"/>
    <mergeCell ref="A139:I139"/>
    <mergeCell ref="A329:I329"/>
    <mergeCell ref="A245:I245"/>
    <mergeCell ref="A8:I8"/>
    <mergeCell ref="A119:I119"/>
    <mergeCell ref="A314:I314"/>
    <mergeCell ref="A109:I109"/>
    <mergeCell ref="A87:I87"/>
    <mergeCell ref="A20:I20"/>
  </mergeCells>
  <dataValidations count="1">
    <dataValidation sqref="G8:G46 H8:H382" showDropDown="0" showInputMessage="0" showErrorMessage="0" allowBlank="1" errorTitle="Invalid Entry" error="Your entry is not in the list" promptTitle="Study Status" prompt="Please select from the list" type="list">
      <formula1>"Not Studied,Reviewing,Mastered"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45" customWidth="1" min="5" max="5"/>
    <col width="45" customWidth="1" min="6" max="6"/>
    <col width="15" customWidth="1" min="7" max="7"/>
    <col width="15" customWidth="1" min="8" max="8"/>
  </cols>
  <sheetData>
    <row r="1" ht="25" customHeight="1">
      <c r="A1" s="1" t="inlineStr">
        <is>
          <t>ATLAS OF CLINICALLY SIGNIFICANT EXTRAORDINARY POINTS</t>
        </is>
      </c>
    </row>
    <row r="3">
      <c r="A3" s="2" t="inlineStr">
        <is>
          <t>SUMMARY STATS</t>
        </is>
      </c>
      <c r="B3" s="3" t="inlineStr">
        <is>
          <t>Total Extraordinary Points:</t>
        </is>
      </c>
      <c r="C3" s="4">
        <f>COUNTIF(A8:A46, "*-*")</f>
        <v/>
      </c>
      <c r="E3" s="3" t="inlineStr">
        <is>
          <t>Mastery Progress:</t>
        </is>
      </c>
      <c r="F3" s="5">
        <f>C4/C3</f>
        <v/>
      </c>
    </row>
    <row r="4">
      <c r="B4" s="3" t="inlineStr">
        <is>
          <t>Points Mastered:</t>
        </is>
      </c>
      <c r="C4" s="4">
        <f>COUNTIF(G8:G46, "Mastered")</f>
        <v/>
      </c>
      <c r="E4" s="3" t="inlineStr">
        <is>
          <t>Last Study Session:</t>
        </is>
      </c>
      <c r="F4" s="6">
        <f>MAX(H8:H46)</f>
        <v/>
      </c>
    </row>
    <row r="5">
      <c r="B5" s="3" t="inlineStr">
        <is>
          <t>Points Reviewing:</t>
        </is>
      </c>
      <c r="C5" s="4">
        <f>COUNTIF(G8:G46, "Reviewing")</f>
        <v/>
      </c>
      <c r="E5" s="7" t="n"/>
      <c r="F5" s="7" t="n"/>
    </row>
    <row r="7" ht="28" customHeight="1">
      <c r="A7" s="8" t="inlineStr">
        <is>
          <t>Extra Code</t>
        </is>
      </c>
      <c r="B7" s="8" t="inlineStr">
        <is>
          <t>Chinese Name</t>
        </is>
      </c>
      <c r="C7" s="8" t="inlineStr">
        <is>
          <t>Pinyin Name</t>
        </is>
      </c>
      <c r="D7" s="8" t="inlineStr">
        <is>
          <t>English Translation Name</t>
        </is>
      </c>
      <c r="E7" s="8" t="inlineStr">
        <is>
          <t>Anatomical Location</t>
        </is>
      </c>
      <c r="F7" s="8" t="inlineStr">
        <is>
          <t>Clinical Uses, Actions &amp; Indications</t>
        </is>
      </c>
      <c r="G7" s="8" t="inlineStr">
        <is>
          <t>Study Status</t>
        </is>
      </c>
      <c r="H7" s="8" t="inlineStr">
        <is>
          <t>Last Studied</t>
        </is>
      </c>
    </row>
    <row r="8" ht="22" customHeight="1">
      <c r="A8" s="9" t="inlineStr">
        <is>
          <t>HEAD &amp; NECK SENSATION POINTS (EX-HN)</t>
        </is>
      </c>
    </row>
    <row r="9" ht="20" customHeight="1">
      <c r="A9" s="10" t="inlineStr">
        <is>
          <t>EX-HN1</t>
        </is>
      </c>
      <c r="B9" s="11" t="inlineStr">
        <is>
          <t>四神聰</t>
        </is>
      </c>
      <c r="C9" s="11" t="inlineStr">
        <is>
          <t>Sìshéncōng</t>
        </is>
      </c>
      <c r="D9" s="11" t="inlineStr">
        <is>
          <t>Four Alert Spirit</t>
        </is>
      </c>
      <c r="E9" s="12" t="inlineStr">
        <is>
          <t>Four points at vertex, 1 cun anterior, posterior and lateral to Baihui GV-20</t>
        </is>
      </c>
      <c r="F9" s="12" t="inlineStr">
        <is>
          <t>Calms spirit, pacifies wind, benefits eyes/ears, treats insomnia, poor memory, stroke, headache</t>
        </is>
      </c>
      <c r="G9" s="13" t="inlineStr">
        <is>
          <t>Not Studied</t>
        </is>
      </c>
      <c r="H9" s="14" t="n"/>
    </row>
    <row r="10" ht="20" customHeight="1">
      <c r="A10" s="15" t="inlineStr">
        <is>
          <t>EX-HN10</t>
        </is>
      </c>
      <c r="B10" s="16" t="inlineStr">
        <is>
          <t>耳尖</t>
        </is>
      </c>
      <c r="C10" s="16" t="inlineStr">
        <is>
          <t>Ěrjiān</t>
        </is>
      </c>
      <c r="D10" s="16" t="inlineStr">
        <is>
          <t>Tip of the Ear</t>
        </is>
      </c>
      <c r="E10" s="17" t="inlineStr">
        <is>
          <t>Fold the ear forward, at the apex of the ear</t>
        </is>
      </c>
      <c r="F10" s="17" t="inlineStr">
        <is>
          <t>Clears heat, dissipates swelling, visual obstruction, sore throat, mumps, high fever (bled)</t>
        </is>
      </c>
      <c r="G10" s="13" t="inlineStr">
        <is>
          <t>Not Studied</t>
        </is>
      </c>
      <c r="H10" s="14" t="n"/>
    </row>
    <row r="11" ht="20" customHeight="1">
      <c r="A11" s="10" t="inlineStr">
        <is>
          <t>EX-HN14</t>
        </is>
      </c>
      <c r="B11" s="11" t="inlineStr">
        <is>
          <t>鼻通</t>
        </is>
      </c>
      <c r="C11" s="11" t="inlineStr">
        <is>
          <t>Bìtōng</t>
        </is>
      </c>
      <c r="D11" s="11" t="inlineStr">
        <is>
          <t>Penetrating the Nose</t>
        </is>
      </c>
      <c r="E11" s="12" t="inlineStr">
        <is>
          <t>At the highest point of the naso-labial groove</t>
        </is>
      </c>
      <c r="F11" s="12" t="inlineStr">
        <is>
          <t>Foremost extra point for all nasal disorders, rhinitis, congestion, polyps</t>
        </is>
      </c>
      <c r="G11" s="13" t="inlineStr">
        <is>
          <t>Not Studied</t>
        </is>
      </c>
      <c r="H11" s="14" t="n"/>
    </row>
    <row r="12" ht="20" customHeight="1">
      <c r="A12" s="15" t="inlineStr">
        <is>
          <t>EX-HN18</t>
        </is>
      </c>
      <c r="B12" s="16" t="inlineStr">
        <is>
          <t>夾承漿</t>
        </is>
      </c>
      <c r="C12" s="16" t="inlineStr">
        <is>
          <t>Jiáchéngjiāng</t>
        </is>
      </c>
      <c r="D12" s="16" t="inlineStr">
        <is>
          <t>Adjacent to Container of Fluids</t>
        </is>
      </c>
      <c r="E12" s="17" t="inlineStr">
        <is>
          <t>1 cun lateral to Chengjiang CV-24, over the mental foramen</t>
        </is>
      </c>
      <c r="F12" s="17" t="inlineStr">
        <is>
          <t>Eliminates wind, alleviates pain (facial paralysis, trigeminal neuralgia, toothache)</t>
        </is>
      </c>
      <c r="G12" s="13" t="inlineStr">
        <is>
          <t>Not Studied</t>
        </is>
      </c>
      <c r="H12" s="14" t="n"/>
    </row>
    <row r="13" ht="20" customHeight="1">
      <c r="A13" s="10" t="inlineStr">
        <is>
          <t>EX-HN20</t>
        </is>
      </c>
      <c r="B13" s="11" t="inlineStr">
        <is>
          <t>金津</t>
        </is>
      </c>
      <c r="C13" s="11" t="inlineStr">
        <is>
          <t>Jīnjīn</t>
        </is>
      </c>
      <c r="D13" s="11" t="inlineStr">
        <is>
          <t>Golden Liquid</t>
        </is>
      </c>
      <c r="E13" s="12" t="inlineStr">
        <is>
          <t>Left vein either side of the frenulum of the tongue</t>
        </is>
      </c>
      <c r="F13" s="12" t="inlineStr">
        <is>
          <t>Clears heat, reduces swelling, mouth ulcers, loss of voice, severe nausea of pregnancy (bled)</t>
        </is>
      </c>
      <c r="G13" s="13" t="inlineStr">
        <is>
          <t>Not Studied</t>
        </is>
      </c>
      <c r="H13" s="14" t="n"/>
    </row>
    <row r="14" ht="20" customHeight="1">
      <c r="A14" s="15" t="inlineStr">
        <is>
          <t>EX-HN21</t>
        </is>
      </c>
      <c r="B14" s="16" t="inlineStr">
        <is>
          <t>玉液</t>
        </is>
      </c>
      <c r="C14" s="16" t="inlineStr">
        <is>
          <t>Yùyè</t>
        </is>
      </c>
      <c r="D14" s="16" t="inlineStr">
        <is>
          <t>Jade Fluid</t>
        </is>
      </c>
      <c r="E14" s="17" t="inlineStr">
        <is>
          <t>Right vein either side of the frenulum of the tongue</t>
        </is>
      </c>
      <c r="F14" s="17" t="inlineStr">
        <is>
          <t>Clears heat, reduces swelling, mouth ulcers, loss of voice, severe nausea of pregnancy (bled)</t>
        </is>
      </c>
      <c r="G14" s="13" t="inlineStr">
        <is>
          <t>Not Studied</t>
        </is>
      </c>
      <c r="H14" s="14" t="n"/>
    </row>
    <row r="15" ht="20" customHeight="1">
      <c r="A15" s="10" t="inlineStr">
        <is>
          <t>EX-HN3</t>
        </is>
      </c>
      <c r="B15" s="11" t="inlineStr">
        <is>
          <t>印堂</t>
        </is>
      </c>
      <c r="C15" s="11" t="inlineStr">
        <is>
          <t>Yìntáng</t>
        </is>
      </c>
      <c r="D15" s="11" t="inlineStr">
        <is>
          <t>Hall of Impression</t>
        </is>
      </c>
      <c r="E15" s="12" t="inlineStr">
        <is>
          <t>At glabella, midpoint between medial extremities of eyebrows</t>
        </is>
      </c>
      <c r="F15" s="12" t="inlineStr">
        <is>
          <t>Extremely powerful point to calm the spirit/shen, treats insomnia, frontal headache, nose disorders</t>
        </is>
      </c>
      <c r="G15" s="13" t="inlineStr">
        <is>
          <t>Not Studied</t>
        </is>
      </c>
      <c r="H15" s="14" t="n"/>
    </row>
    <row r="16" ht="20" customHeight="1">
      <c r="A16" s="15" t="inlineStr">
        <is>
          <t>EX-HN30</t>
        </is>
      </c>
      <c r="B16" s="16" t="inlineStr">
        <is>
          <t>百勞</t>
        </is>
      </c>
      <c r="C16" s="16" t="inlineStr">
        <is>
          <t>Bǎiláo</t>
        </is>
      </c>
      <c r="D16" s="16" t="inlineStr">
        <is>
          <t>Hundred Taxations</t>
        </is>
      </c>
      <c r="E16" s="17" t="inlineStr">
        <is>
          <t>Back of neck, 2 cun superior to Dazhui GV-14, 1 cun lateral to midline</t>
        </is>
      </c>
      <c r="F16" s="17" t="inlineStr">
        <is>
          <t>Transforms phlegm, dissipates nodules, stops cough/dyspnoea, night sweating, scrofula</t>
        </is>
      </c>
      <c r="G16" s="13" t="inlineStr">
        <is>
          <t>Not Studied</t>
        </is>
      </c>
      <c r="H16" s="14" t="n"/>
    </row>
    <row r="17" ht="20" customHeight="1">
      <c r="A17" s="10" t="inlineStr">
        <is>
          <t>EX-HN37</t>
        </is>
      </c>
      <c r="B17" s="11" t="inlineStr">
        <is>
          <t>海泉</t>
        </is>
      </c>
      <c r="C17" s="11" t="inlineStr">
        <is>
          <t>Hǎiquán</t>
        </is>
      </c>
      <c r="D17" s="11" t="inlineStr">
        <is>
          <t>Sea Spring</t>
        </is>
      </c>
      <c r="E17" s="12" t="inlineStr">
        <is>
          <t>In the centre of the frenulum of the tongue, between Jinjin and Yuye</t>
        </is>
      </c>
      <c r="F17" s="12" t="inlineStr">
        <is>
          <t>Clears heat, reduces swelling, generates fluids, benefits tongue, childhood tongue disorders</t>
        </is>
      </c>
      <c r="G17" s="13" t="inlineStr">
        <is>
          <t>Not Studied</t>
        </is>
      </c>
      <c r="H17" s="14" t="n"/>
    </row>
    <row r="18" ht="20" customHeight="1">
      <c r="A18" s="15" t="inlineStr">
        <is>
          <t>EX-HN4</t>
        </is>
      </c>
      <c r="B18" s="16" t="inlineStr">
        <is>
          <t>魚腰</t>
        </is>
      </c>
      <c r="C18" s="16" t="inlineStr">
        <is>
          <t>Yúyāo</t>
        </is>
      </c>
      <c r="D18" s="16" t="inlineStr">
        <is>
          <t>Fish Waist</t>
        </is>
      </c>
      <c r="E18" s="17" t="inlineStr">
        <is>
          <t>In centre of eyebrow, in depression directly above pupil looking straight</t>
        </is>
      </c>
      <c r="F18" s="17" t="inlineStr">
        <is>
          <t>Benefits the eyes, frontal headaches, eye strain, drooping eyelids (ptosis)</t>
        </is>
      </c>
      <c r="G18" s="13" t="inlineStr">
        <is>
          <t>Not Studied</t>
        </is>
      </c>
      <c r="H18" s="14" t="n"/>
    </row>
    <row r="19" ht="20" customHeight="1">
      <c r="A19" s="10" t="inlineStr">
        <is>
          <t>EX-HN5</t>
        </is>
      </c>
      <c r="B19" s="11" t="inlineStr">
        <is>
          <t>太陽</t>
        </is>
      </c>
      <c r="C19" s="11" t="inlineStr">
        <is>
          <t>Tàiyáng</t>
        </is>
      </c>
      <c r="D19" s="11" t="inlineStr">
        <is>
          <t>Sun (Supreme Yang)</t>
        </is>
      </c>
      <c r="E19" s="12" t="inlineStr">
        <is>
          <t>At temple, in tender depression 1 cun posterior to midpoint of eyebrow &amp; outer canthus</t>
        </is>
      </c>
      <c r="F19" s="12" t="inlineStr">
        <is>
          <t>Eliminates wind, clears heat, treats migraines, red/swollen eyes, facial paralysis, dental pain</t>
        </is>
      </c>
      <c r="G19" s="13" t="inlineStr">
        <is>
          <t>Not Studied</t>
        </is>
      </c>
      <c r="H19" s="14" t="n"/>
    </row>
    <row r="20" ht="20" customHeight="1">
      <c r="A20" s="15" t="inlineStr">
        <is>
          <t>EX-HN54</t>
        </is>
      </c>
      <c r="B20" s="16" t="inlineStr">
        <is>
          <t>安眠</t>
        </is>
      </c>
      <c r="C20" s="16" t="inlineStr">
        <is>
          <t>Ānmián</t>
        </is>
      </c>
      <c r="D20" s="16" t="inlineStr">
        <is>
          <t>Peaceful Sleep</t>
        </is>
      </c>
      <c r="E20" s="17" t="inlineStr">
        <is>
          <t>Behind ear, midway between Fengchi GB-20 and Yifeng TE-17</t>
        </is>
      </c>
      <c r="F20" s="17" t="inlineStr">
        <is>
          <t>Calms the spirit, pacifies the Liver, treats severe insomnia, palpitations, epilepsy, hypertension</t>
        </is>
      </c>
      <c r="G20" s="13" t="inlineStr">
        <is>
          <t>Not Studied</t>
        </is>
      </c>
      <c r="H20" s="14" t="n"/>
    </row>
    <row r="21" ht="22" customHeight="1">
      <c r="A21" s="9" t="inlineStr">
        <is>
          <t>BACK &amp; WAIST SUPPORT POINTS (EX-BW)</t>
        </is>
      </c>
    </row>
    <row r="22" ht="20" customHeight="1">
      <c r="A22" s="15" t="inlineStr">
        <is>
          <t>EX-BW1</t>
        </is>
      </c>
      <c r="B22" s="16" t="inlineStr">
        <is>
          <t>定喘</t>
        </is>
      </c>
      <c r="C22" s="16" t="inlineStr">
        <is>
          <t>Dìngchuǎn</t>
        </is>
      </c>
      <c r="D22" s="16" t="inlineStr">
        <is>
          <t>Calm Dyspnoea</t>
        </is>
      </c>
      <c r="E22" s="17" t="inlineStr">
        <is>
          <t>0.5 to 1 cun lateral to depression below spinous process of C7 (Dazhui GV-14)</t>
        </is>
      </c>
      <c r="F22" s="17" t="inlineStr">
        <is>
          <t>Highly effective empirical point for acute wheezing, dyspnoea, asthma, and chronic cough</t>
        </is>
      </c>
      <c r="G22" s="13" t="inlineStr">
        <is>
          <t>Not Studied</t>
        </is>
      </c>
      <c r="H22" s="14" t="n"/>
    </row>
    <row r="23" ht="20" customHeight="1">
      <c r="A23" s="10" t="inlineStr">
        <is>
          <t>EX-BW12</t>
        </is>
      </c>
      <c r="B23" s="11" t="inlineStr">
        <is>
          <t>胃管下俞</t>
        </is>
      </c>
      <c r="C23" s="11" t="inlineStr">
        <is>
          <t>Wèiguǎnxiàshū</t>
        </is>
      </c>
      <c r="D23" s="11" t="inlineStr">
        <is>
          <t>Stomach Controller Lower Shu (Yishu / Pancreas)</t>
        </is>
      </c>
      <c r="E23" s="12" t="inlineStr">
        <is>
          <t>1.5 cun lateral to lower border of spinous process of T8</t>
        </is>
      </c>
      <c r="F23" s="12" t="inlineStr">
        <is>
          <t>Clears heat, generates fluid, empirical point for wasting and thirsting disorder (diabetes)</t>
        </is>
      </c>
      <c r="G23" s="13" t="inlineStr">
        <is>
          <t>Not Studied</t>
        </is>
      </c>
      <c r="H23" s="14" t="n"/>
    </row>
    <row r="24" ht="20" customHeight="1">
      <c r="A24" s="15" t="inlineStr">
        <is>
          <t>EX-BW24</t>
        </is>
      </c>
      <c r="B24" s="16" t="inlineStr">
        <is>
          <t>腰眼</t>
        </is>
      </c>
      <c r="C24" s="16" t="inlineStr">
        <is>
          <t>Yāoyǎn</t>
        </is>
      </c>
      <c r="D24" s="16" t="inlineStr">
        <is>
          <t>Lumbar Eyes</t>
        </is>
      </c>
      <c r="E24" s="17" t="inlineStr">
        <is>
          <t>In depression approximately 3.5 cun lateral to lower border of L4 (Yaoyangguan GV-3)</t>
        </is>
      </c>
      <c r="F24" s="17" t="inlineStr">
        <is>
          <t>Strengthens Kidneys, benefits lumbar region, local point for acute/chronic lower back pain</t>
        </is>
      </c>
      <c r="G24" s="13" t="inlineStr">
        <is>
          <t>Not Studied</t>
        </is>
      </c>
      <c r="H24" s="14" t="n"/>
    </row>
    <row r="25" ht="20" customHeight="1">
      <c r="A25" s="10" t="inlineStr">
        <is>
          <t>EX-BW25</t>
        </is>
      </c>
      <c r="B25" s="11" t="inlineStr">
        <is>
          <t>十七椎</t>
        </is>
      </c>
      <c r="C25" s="11" t="inlineStr">
        <is>
          <t>Shíqīzhuī</t>
        </is>
      </c>
      <c r="D25" s="11" t="inlineStr">
        <is>
          <t>Below the Seventeenth Vertebra</t>
        </is>
      </c>
      <c r="E25" s="12" t="inlineStr">
        <is>
          <t>On midline of lower back, in depression below spinous process of L5</t>
        </is>
      </c>
      <c r="F25" s="12" t="inlineStr">
        <is>
          <t>Tonifies Kidneys, promotes urination, alleviates pain (chronic lumbar pain, dysmenorrhoea)</t>
        </is>
      </c>
      <c r="G25" s="13" t="inlineStr">
        <is>
          <t>Not Studied</t>
        </is>
      </c>
      <c r="H25" s="14" t="n"/>
    </row>
    <row r="26" ht="20" customHeight="1">
      <c r="A26" s="15" t="inlineStr">
        <is>
          <t>EX-BW35</t>
        </is>
      </c>
      <c r="B26" s="16" t="inlineStr">
        <is>
          <t>華佗夾脊</t>
        </is>
      </c>
      <c r="C26" s="16" t="inlineStr">
        <is>
          <t>Huátuójiāji</t>
        </is>
      </c>
      <c r="D26" s="16" t="inlineStr">
        <is>
          <t>Hua Tuo's Paravertebral Points</t>
        </is>
      </c>
      <c r="E26" s="17" t="inlineStr">
        <is>
          <t>0.5 to 1 cun lateral to depressions below spinous processes of C1-C7, T1-T12, L1-L5</t>
        </is>
      </c>
      <c r="F26" s="17" t="inlineStr">
        <is>
          <t>Regulates and harmonises five zang and six fu, treats segmental nerve pain, herpes zoster, spine stiffness</t>
        </is>
      </c>
      <c r="G26" s="13" t="inlineStr">
        <is>
          <t>Not Studied</t>
        </is>
      </c>
      <c r="H26" s="14" t="n"/>
    </row>
    <row r="27" ht="20" customHeight="1">
      <c r="A27" s="10" t="inlineStr">
        <is>
          <t>EX-BW6</t>
        </is>
      </c>
      <c r="B27" s="11" t="inlineStr">
        <is>
          <t>患門</t>
        </is>
      </c>
      <c r="C27" s="11" t="inlineStr">
        <is>
          <t>Huànmén</t>
        </is>
      </c>
      <c r="D27" s="11" t="inlineStr">
        <is>
          <t>Gate of Suffering</t>
        </is>
      </c>
      <c r="E27" s="12" t="inlineStr">
        <is>
          <t>1.5 cun lateral to prominence of spinous process of T5</t>
        </is>
      </c>
      <c r="F27" s="12" t="inlineStr">
        <is>
          <t>Nourishes yin, clears heat, tonifies qi, treats deficiency-taxation, night sweat, poor appetite</t>
        </is>
      </c>
      <c r="G27" s="13" t="inlineStr">
        <is>
          <t>Not Studied</t>
        </is>
      </c>
      <c r="H27" s="14" t="n"/>
    </row>
    <row r="28" ht="22" customHeight="1">
      <c r="A28" s="9" t="inlineStr">
        <is>
          <t>CHEST &amp; ABDOMEN LOCAL POINTS (EX-CA)</t>
        </is>
      </c>
    </row>
    <row r="29" ht="20" customHeight="1">
      <c r="A29" s="10" t="inlineStr">
        <is>
          <t>EX-CA18</t>
        </is>
      </c>
      <c r="B29" s="11" t="inlineStr">
        <is>
          <t>子宮</t>
        </is>
      </c>
      <c r="C29" s="11" t="inlineStr">
        <is>
          <t>Zǐgōng</t>
        </is>
      </c>
      <c r="D29" s="11" t="inlineStr">
        <is>
          <t>Palace of the Child (Uterus)</t>
        </is>
      </c>
      <c r="E29" s="12" t="inlineStr">
        <is>
          <t>On lower abdomen, 3 cun lateral to midline, level with Zhongji CV-3</t>
        </is>
      </c>
      <c r="F29" s="12" t="inlineStr">
        <is>
          <t>Raises and regulates qi, regulates menstruation, treats uterine prolapse, infertility, bleeding</t>
        </is>
      </c>
      <c r="G29" s="13" t="inlineStr">
        <is>
          <t>Not Studied</t>
        </is>
      </c>
      <c r="H29" s="14" t="n"/>
    </row>
    <row r="30" ht="20" customHeight="1">
      <c r="A30" s="15" t="inlineStr">
        <is>
          <t>EX-CA23</t>
        </is>
      </c>
      <c r="B30" s="16" t="inlineStr">
        <is>
          <t>三角灸</t>
        </is>
      </c>
      <c r="C30" s="16" t="inlineStr">
        <is>
          <t>Sānjiǎojiǔ</t>
        </is>
      </c>
      <c r="D30" s="16" t="inlineStr">
        <is>
          <t>Triangle Moxibustion</t>
        </is>
      </c>
      <c r="E30" s="17" t="inlineStr">
        <is>
          <t>Equilateral triangle constructed with umbilicus as apex, sides equal smile length</t>
        </is>
      </c>
      <c r="F30" s="17" t="inlineStr">
        <is>
          <t>Regulates lower jiao qi, alleviates abdominal pain, diarrhoea, hernia</t>
        </is>
      </c>
      <c r="G30" s="13" t="inlineStr">
        <is>
          <t>Not Studied</t>
        </is>
      </c>
      <c r="H30" s="14" t="n"/>
    </row>
    <row r="31" ht="22" customHeight="1">
      <c r="A31" s="9" t="inlineStr">
        <is>
          <t>UPPER EXTREMITY PAIN POINTS (EX-UE)</t>
        </is>
      </c>
    </row>
    <row r="32" ht="20" customHeight="1">
      <c r="A32" s="15" t="inlineStr">
        <is>
          <t>EX-UE1</t>
        </is>
      </c>
      <c r="B32" s="16" t="inlineStr">
        <is>
          <t>十宣</t>
        </is>
      </c>
      <c r="C32" s="16" t="inlineStr">
        <is>
          <t>Shíxuān</t>
        </is>
      </c>
      <c r="D32" s="16" t="inlineStr">
        <is>
          <t>Ten Diffusions</t>
        </is>
      </c>
      <c r="E32" s="17" t="inlineStr">
        <is>
          <t>On tips of ten fingers, approximately 0.1 cun from fingernail</t>
        </is>
      </c>
      <c r="F32" s="17" t="inlineStr">
        <is>
          <t>Emergency resuscitation, pricked to bleed for stroke, coma, high fever, sunstroke, epilepsy</t>
        </is>
      </c>
      <c r="G32" s="13" t="inlineStr">
        <is>
          <t>Not Studied</t>
        </is>
      </c>
      <c r="H32" s="14" t="n"/>
    </row>
    <row r="33" ht="20" customHeight="1">
      <c r="A33" s="10" t="inlineStr">
        <is>
          <t>EX-UE19</t>
        </is>
      </c>
      <c r="B33" s="11" t="inlineStr">
        <is>
          <t>腰痛穴</t>
        </is>
      </c>
      <c r="C33" s="11" t="inlineStr">
        <is>
          <t>Yāotòngxué</t>
        </is>
      </c>
      <c r="D33" s="11" t="inlineStr">
        <is>
          <t>Lumbar Pain Point</t>
        </is>
      </c>
      <c r="E33" s="12" t="inlineStr">
        <is>
          <t>Dorsum of hand, between 2nd/3rd &amp; 4th/5th metacarpals, distal to bases</t>
        </is>
      </c>
      <c r="F33" s="12" t="inlineStr">
        <is>
          <t>Vigorously invigorates qi/blood in lumbar, foremost point for acute lumbar sprain (manipulate during movement)</t>
        </is>
      </c>
      <c r="G33" s="13" t="inlineStr">
        <is>
          <t>Not Studied</t>
        </is>
      </c>
      <c r="H33" s="14" t="n"/>
    </row>
    <row r="34" ht="20" customHeight="1">
      <c r="A34" s="15" t="inlineStr">
        <is>
          <t>EX-UE22</t>
        </is>
      </c>
      <c r="B34" s="16" t="inlineStr">
        <is>
          <t>八邪</t>
        </is>
      </c>
      <c r="C34" s="16" t="inlineStr">
        <is>
          <t>Bāxié</t>
        </is>
      </c>
      <c r="D34" s="16" t="inlineStr">
        <is>
          <t>Eight Pathogens</t>
        </is>
      </c>
      <c r="E34" s="17" t="inlineStr">
        <is>
          <t>Dorsal hand, in depressions between metacarpal heads, proximal to web margins</t>
        </is>
      </c>
      <c r="F34" s="17" t="inlineStr">
        <is>
          <t>Clears heat, penetrates/dissipates swelling, treats finger numbness, hand pain, arthritis, headaches</t>
        </is>
      </c>
      <c r="G34" s="13" t="inlineStr">
        <is>
          <t>Not Studied</t>
        </is>
      </c>
      <c r="H34" s="14" t="n"/>
    </row>
    <row r="35" ht="20" customHeight="1">
      <c r="A35" s="10" t="inlineStr">
        <is>
          <t>EX-UE24</t>
        </is>
      </c>
      <c r="B35" s="11" t="inlineStr">
        <is>
          <t>落枕</t>
        </is>
      </c>
      <c r="C35" s="11" t="inlineStr">
        <is>
          <t>Luòzhěn</t>
        </is>
      </c>
      <c r="D35" s="11" t="inlineStr">
        <is>
          <t>Stiff Neck</t>
        </is>
      </c>
      <c r="E35" s="12" t="inlineStr">
        <is>
          <t>Dorsum of hand, in depression just proximal to 2nd &amp; 3rd MCP joints</t>
        </is>
      </c>
      <c r="F35" s="12" t="inlineStr">
        <is>
          <t>Invigorates qi/blood in neck region, empirical point for acute stiff neck, pain of shoulder/arm</t>
        </is>
      </c>
      <c r="G35" s="13" t="inlineStr">
        <is>
          <t>Not Studied</t>
        </is>
      </c>
      <c r="H35" s="14" t="n"/>
    </row>
    <row r="36" ht="20" customHeight="1">
      <c r="A36" s="15" t="inlineStr">
        <is>
          <t>EX-UE29</t>
        </is>
      </c>
      <c r="B36" s="16" t="inlineStr">
        <is>
          <t>二白</t>
        </is>
      </c>
      <c r="C36" s="16" t="inlineStr">
        <is>
          <t>Èrbái</t>
        </is>
      </c>
      <c r="D36" s="16" t="inlineStr">
        <is>
          <t>Two Whites</t>
        </is>
      </c>
      <c r="E36" s="17" t="inlineStr">
        <is>
          <t>Flexor forearm, 4 cun proximal to PC-7, either side of flexor carpi radialis tendon</t>
        </is>
      </c>
      <c r="F36" s="17" t="inlineStr">
        <is>
          <t>Foremost points for prolapse of rectum, haemorrhoids, anal itching, tenesmus</t>
        </is>
      </c>
      <c r="G36" s="13" t="inlineStr">
        <is>
          <t>Not Studied</t>
        </is>
      </c>
      <c r="H36" s="14" t="n"/>
    </row>
    <row r="37" ht="20" customHeight="1">
      <c r="A37" s="10" t="inlineStr">
        <is>
          <t>EX-UE46</t>
        </is>
      </c>
      <c r="B37" s="11" t="inlineStr">
        <is>
          <t>肘尖</t>
        </is>
      </c>
      <c r="C37" s="11" t="inlineStr">
        <is>
          <t>Zhǒujiān</t>
        </is>
      </c>
      <c r="D37" s="11" t="inlineStr">
        <is>
          <t>Elbow Tip</t>
        </is>
      </c>
      <c r="E37" s="12" t="inlineStr">
        <is>
          <t>On the tip of the olecranon process of the ulna</t>
        </is>
      </c>
      <c r="F37" s="12" t="inlineStr">
        <is>
          <t>Transforms phlegm, reduces swelling, scrofula, carbuncles, moxibustion only</t>
        </is>
      </c>
      <c r="G37" s="13" t="inlineStr">
        <is>
          <t>Not Studied</t>
        </is>
      </c>
      <c r="H37" s="14" t="n"/>
    </row>
    <row r="38" ht="20" customHeight="1">
      <c r="A38" s="15" t="inlineStr">
        <is>
          <t>EX-UE48</t>
        </is>
      </c>
      <c r="B38" s="16" t="inlineStr">
        <is>
          <t>肩前</t>
        </is>
      </c>
      <c r="C38" s="16" t="inlineStr">
        <is>
          <t>Jiānqián</t>
        </is>
      </c>
      <c r="D38" s="16" t="inlineStr">
        <is>
          <t>Front of the Shoulder</t>
        </is>
      </c>
      <c r="E38" s="17" t="inlineStr">
        <is>
          <t>Anterior aspect of shoulder joint, midway between anterior axillary fold and LI-15</t>
        </is>
      </c>
      <c r="F38" s="17" t="inlineStr">
        <is>
          <t>Foremost point for anterior shoulder pain, stiffness, frozen shoulder, activates local qi</t>
        </is>
      </c>
      <c r="G38" s="13" t="inlineStr">
        <is>
          <t>Not Studied</t>
        </is>
      </c>
      <c r="H38" s="14" t="n"/>
    </row>
    <row r="39" ht="20" customHeight="1">
      <c r="A39" s="10" t="inlineStr">
        <is>
          <t>EX-UE9</t>
        </is>
      </c>
      <c r="B39" s="11" t="inlineStr">
        <is>
          <t>四縫</t>
        </is>
      </c>
      <c r="C39" s="11" t="inlineStr">
        <is>
          <t>Sìfèng</t>
        </is>
      </c>
      <c r="D39" s="11" t="inlineStr">
        <is>
          <t>Four Seams</t>
        </is>
      </c>
      <c r="E39" s="12" t="inlineStr">
        <is>
          <t>Midpoints of transverse creases of PIP joints of index, middle, ring, little fingers</t>
        </is>
      </c>
      <c r="F39" s="12" t="inlineStr">
        <is>
          <t>Fortifies Spleen, treats digestive/nutritional malnutrition (Gan) in children</t>
        </is>
      </c>
      <c r="G39" s="13" t="inlineStr">
        <is>
          <t>Not Studied</t>
        </is>
      </c>
      <c r="H39" s="14" t="n"/>
    </row>
    <row r="40" ht="22" customHeight="1">
      <c r="A40" s="9" t="inlineStr">
        <is>
          <t>LOWER EXTREMITY RELIEF POINTS (EX-LE)</t>
        </is>
      </c>
    </row>
    <row r="41" ht="20" customHeight="1">
      <c r="A41" s="10" t="inlineStr">
        <is>
          <t>EX-LE13</t>
        </is>
      </c>
      <c r="B41" s="11" t="inlineStr">
        <is>
          <t>闌尾穴</t>
        </is>
      </c>
      <c r="C41" s="11" t="inlineStr">
        <is>
          <t>Lánwěixuē</t>
        </is>
      </c>
      <c r="D41" s="11" t="inlineStr">
        <is>
          <t>Appendix Point</t>
        </is>
      </c>
      <c r="E41" s="12" t="inlineStr">
        <is>
          <t>On right leg only, approximately 2 cun distal to Zusanli ST-36</t>
        </is>
      </c>
      <c r="F41" s="12" t="inlineStr">
        <is>
          <t>Empirical diagnostic/treatment point for acute and chronic appendicitis, clears fire poison</t>
        </is>
      </c>
      <c r="G41" s="13" t="inlineStr">
        <is>
          <t>Not Studied</t>
        </is>
      </c>
      <c r="H41" s="14" t="n"/>
    </row>
    <row r="42" ht="20" customHeight="1">
      <c r="A42" s="15" t="inlineStr">
        <is>
          <t>EX-LE16</t>
        </is>
      </c>
      <c r="B42" s="16" t="inlineStr">
        <is>
          <t>膝眼</t>
        </is>
      </c>
      <c r="C42" s="16" t="inlineStr">
        <is>
          <t>Xīyǎn</t>
        </is>
      </c>
      <c r="D42" s="16" t="inlineStr">
        <is>
          <t>Eyes of the Knee</t>
        </is>
      </c>
      <c r="E42" s="17" t="inlineStr">
        <is>
          <t>Knee hollows below patella, both medial (extra point) and lateral (identical to ST-35)</t>
        </is>
      </c>
      <c r="F42" s="17" t="inlineStr">
        <is>
          <t>Dispels wind-damp, reduces knee joint swelling, essential basis of any knee pain prescription</t>
        </is>
      </c>
      <c r="G42" s="13" t="inlineStr">
        <is>
          <t>Not Studied</t>
        </is>
      </c>
      <c r="H42" s="14" t="n"/>
    </row>
    <row r="43" ht="20" customHeight="1">
      <c r="A43" s="10" t="inlineStr">
        <is>
          <t>EX-LE23</t>
        </is>
      </c>
      <c r="B43" s="11" t="inlineStr">
        <is>
          <t>膽囊穴</t>
        </is>
      </c>
      <c r="C43" s="11" t="inlineStr">
        <is>
          <t>Dǎnnángxuē</t>
        </is>
      </c>
      <c r="D43" s="11" t="inlineStr">
        <is>
          <t>Gallbladder Point</t>
        </is>
      </c>
      <c r="E43" s="12" t="inlineStr">
        <is>
          <t>On right leg only, approximately 1-2 cun distal to Yanglingquan GB-34</t>
        </is>
      </c>
      <c r="F43" s="12" t="inlineStr">
        <is>
          <t>Empirical diagnostic/treatment point for acute/chronic cholecystitis, gallstones, costal pain</t>
        </is>
      </c>
      <c r="G43" s="13" t="inlineStr">
        <is>
          <t>Not Studied</t>
        </is>
      </c>
      <c r="H43" s="14" t="n"/>
    </row>
    <row r="44" ht="20" customHeight="1">
      <c r="A44" s="15" t="inlineStr">
        <is>
          <t>EX-LE27</t>
        </is>
      </c>
      <c r="B44" s="16" t="inlineStr">
        <is>
          <t>鶴頂</t>
        </is>
      </c>
      <c r="C44" s="16" t="inlineStr">
        <is>
          <t>Hèdǐng</t>
        </is>
      </c>
      <c r="D44" s="16" t="inlineStr">
        <is>
          <t>Crane's Summit</t>
        </is>
      </c>
      <c r="E44" s="17" t="inlineStr">
        <is>
          <t>In the depression at the midpoint of the superior border of the patella</t>
        </is>
      </c>
      <c r="F44" s="17" t="inlineStr">
        <is>
          <t>Activates qi and blood, benefits knee joint, treats knee swelling, weakness and arthritis</t>
        </is>
      </c>
      <c r="G44" s="13" t="inlineStr">
        <is>
          <t>Not Studied</t>
        </is>
      </c>
      <c r="H44" s="14" t="n"/>
    </row>
    <row r="45" ht="20" customHeight="1">
      <c r="A45" s="10" t="inlineStr">
        <is>
          <t>EX-LE34</t>
        </is>
      </c>
      <c r="B45" s="11" t="inlineStr">
        <is>
          <t>百蟲窩</t>
        </is>
      </c>
      <c r="C45" s="11" t="inlineStr">
        <is>
          <t>Bǎichóngwō</t>
        </is>
      </c>
      <c r="D45" s="11" t="inlineStr">
        <is>
          <t>Hundred Insect Burrow</t>
        </is>
      </c>
      <c r="E45" s="12" t="inlineStr">
        <is>
          <t>3 cun proximal to superior patella, in tender depression on bulge of vastus medialis</t>
        </is>
      </c>
      <c r="F45" s="12" t="inlineStr">
        <is>
          <t>Clears heat from blood, eliminates wind, drains damp, treats severe hives, eczema, intense itching</t>
        </is>
      </c>
      <c r="G45" s="13" t="inlineStr">
        <is>
          <t>Not Studied</t>
        </is>
      </c>
      <c r="H45" s="14" t="n"/>
    </row>
    <row r="46" ht="20" customHeight="1">
      <c r="A46" s="15" t="inlineStr">
        <is>
          <t>EX-LE8</t>
        </is>
      </c>
      <c r="B46" s="16" t="inlineStr">
        <is>
          <t>八風</t>
        </is>
      </c>
      <c r="C46" s="16" t="inlineStr">
        <is>
          <t>Bāfēng</t>
        </is>
      </c>
      <c r="D46" s="16" t="inlineStr">
        <is>
          <t>Eight Winds</t>
        </is>
      </c>
      <c r="E46" s="17" t="inlineStr">
        <is>
          <t>Dorsum of foot, between toes, 0.5 cun proximal to margin of web</t>
        </is>
      </c>
      <c r="F46" s="17" t="inlineStr">
        <is>
          <t>Clears heat, dissipates swelling, local toe pain, foot numbness, neuropathy, gout</t>
        </is>
      </c>
      <c r="G46" s="13" t="inlineStr">
        <is>
          <t>Not Studied</t>
        </is>
      </c>
      <c r="H46" s="14" t="n"/>
    </row>
  </sheetData>
  <mergeCells count="5">
    <mergeCell ref="A21:H21"/>
    <mergeCell ref="A31:H31"/>
    <mergeCell ref="A28:H28"/>
    <mergeCell ref="A8:H8"/>
    <mergeCell ref="A40:H40"/>
  </mergeCells>
  <dataValidations count="1">
    <dataValidation sqref="G8:G46 H8:H382" showDropDown="0" showInputMessage="0" showErrorMessage="0" allowBlank="1" errorTitle="Invalid Entry" error="Your entry is not in the list" promptTitle="Study Status" prompt="Please select from the list" type="list">
      <formula1>"Not Studied,Reviewing,Mastered"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2026-08-25T17:33:11Z</dcterms:created>
  <dcterms:modified xmlns:dcterms="http://purl.org/dc/terms/" xmlns:xsi="http://www.w3.org/2001/XMLSchema-instance" xsi:type="dcterms:W3CDTF">2026-08-25T17:33:11Z</dcterms:modified>
</cp:coreProperties>
</file>